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udy\Supply Chain\OGDC\Data\"/>
    </mc:Choice>
  </mc:AlternateContent>
  <xr:revisionPtr revIDLastSave="0" documentId="13_ncr:1_{077B093F-9363-4FC7-95C3-C6C1E861AB00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Forecasts (Colab)" sheetId="1" r:id="rId1"/>
    <sheet name="Holt-Winters" sheetId="7" r:id="rId2"/>
    <sheet name="Naive" sheetId="2" r:id="rId3"/>
    <sheet name="Trend Event Reg" sheetId="8" r:id="rId4"/>
    <sheet name="SES alpha 0.6" sheetId="6" r:id="rId5"/>
    <sheet name="SES alpha 0.3" sheetId="5" r:id="rId6"/>
    <sheet name="Moving Avg 4w" sheetId="4" r:id="rId7"/>
    <sheet name="Seasonal Naive 52w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8" l="1"/>
  <c r="B2" i="8"/>
  <c r="C2" i="8"/>
  <c r="A3" i="8"/>
  <c r="B3" i="8"/>
  <c r="C3" i="8"/>
  <c r="A4" i="8"/>
  <c r="B4" i="8"/>
  <c r="C4" i="8"/>
  <c r="A5" i="8"/>
  <c r="B5" i="8"/>
  <c r="C5" i="8"/>
  <c r="A6" i="8"/>
  <c r="B6" i="8"/>
  <c r="C6" i="8"/>
  <c r="A7" i="8"/>
  <c r="B7" i="8"/>
  <c r="C7" i="8"/>
  <c r="A8" i="8"/>
  <c r="B8" i="8"/>
  <c r="C8" i="8"/>
  <c r="A9" i="8"/>
  <c r="B9" i="8"/>
  <c r="C9" i="8"/>
  <c r="A10" i="8"/>
  <c r="B10" i="8"/>
  <c r="C10" i="8"/>
  <c r="A11" i="8"/>
  <c r="B11" i="8"/>
  <c r="C11" i="8"/>
  <c r="A12" i="8"/>
  <c r="B12" i="8"/>
  <c r="C12" i="8"/>
  <c r="A13" i="8"/>
  <c r="B13" i="8"/>
  <c r="C13" i="8"/>
  <c r="A2" i="7"/>
  <c r="B2" i="7"/>
  <c r="C2" i="7"/>
  <c r="A3" i="7"/>
  <c r="B3" i="7"/>
  <c r="C3" i="7"/>
  <c r="A4" i="7"/>
  <c r="B4" i="7"/>
  <c r="C4" i="7"/>
  <c r="A5" i="7"/>
  <c r="B5" i="7"/>
  <c r="C5" i="7"/>
  <c r="A6" i="7"/>
  <c r="B6" i="7"/>
  <c r="C6" i="7"/>
  <c r="A7" i="7"/>
  <c r="B7" i="7"/>
  <c r="C7" i="7"/>
  <c r="A8" i="7"/>
  <c r="B8" i="7"/>
  <c r="C8" i="7"/>
  <c r="A9" i="7"/>
  <c r="B9" i="7"/>
  <c r="C9" i="7"/>
  <c r="A10" i="7"/>
  <c r="B10" i="7"/>
  <c r="C10" i="7"/>
  <c r="A11" i="7"/>
  <c r="B11" i="7"/>
  <c r="C11" i="7"/>
  <c r="A12" i="7"/>
  <c r="B12" i="7"/>
  <c r="C12" i="7"/>
  <c r="A13" i="7"/>
  <c r="B13" i="7"/>
  <c r="C13" i="7"/>
  <c r="A2" i="6"/>
  <c r="B2" i="6"/>
  <c r="C2" i="6"/>
  <c r="A3" i="6"/>
  <c r="B3" i="6"/>
  <c r="C3" i="6"/>
  <c r="A4" i="6"/>
  <c r="B4" i="6"/>
  <c r="C4" i="6"/>
  <c r="A5" i="6"/>
  <c r="B5" i="6"/>
  <c r="C5" i="6"/>
  <c r="A6" i="6"/>
  <c r="B6" i="6"/>
  <c r="C6" i="6"/>
  <c r="A7" i="6"/>
  <c r="B7" i="6"/>
  <c r="C7" i="6"/>
  <c r="A8" i="6"/>
  <c r="B8" i="6"/>
  <c r="C8" i="6"/>
  <c r="A9" i="6"/>
  <c r="B9" i="6"/>
  <c r="C9" i="6"/>
  <c r="A10" i="6"/>
  <c r="B10" i="6"/>
  <c r="C10" i="6"/>
  <c r="A11" i="6"/>
  <c r="B11" i="6"/>
  <c r="C11" i="6"/>
  <c r="A12" i="6"/>
  <c r="B12" i="6"/>
  <c r="C12" i="6"/>
  <c r="A13" i="6"/>
  <c r="B13" i="6"/>
  <c r="C13" i="6"/>
  <c r="A2" i="5"/>
  <c r="B2" i="5"/>
  <c r="C2" i="5"/>
  <c r="A3" i="5"/>
  <c r="B3" i="5"/>
  <c r="C3" i="5"/>
  <c r="A4" i="5"/>
  <c r="B4" i="5"/>
  <c r="C4" i="5"/>
  <c r="A5" i="5"/>
  <c r="B5" i="5"/>
  <c r="C5" i="5"/>
  <c r="A6" i="5"/>
  <c r="B6" i="5"/>
  <c r="C6" i="5"/>
  <c r="A7" i="5"/>
  <c r="B7" i="5"/>
  <c r="C7" i="5"/>
  <c r="A8" i="5"/>
  <c r="B8" i="5"/>
  <c r="C8" i="5"/>
  <c r="A9" i="5"/>
  <c r="B9" i="5"/>
  <c r="C9" i="5"/>
  <c r="A10" i="5"/>
  <c r="B10" i="5"/>
  <c r="C10" i="5"/>
  <c r="A11" i="5"/>
  <c r="B11" i="5"/>
  <c r="C11" i="5"/>
  <c r="A12" i="5"/>
  <c r="B12" i="5"/>
  <c r="C12" i="5"/>
  <c r="A13" i="5"/>
  <c r="B13" i="5"/>
  <c r="C13" i="5"/>
  <c r="A2" i="4"/>
  <c r="B2" i="4"/>
  <c r="C2" i="4"/>
  <c r="A3" i="4"/>
  <c r="B3" i="4"/>
  <c r="C3" i="4"/>
  <c r="A4" i="4"/>
  <c r="B4" i="4"/>
  <c r="C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2" i="3"/>
  <c r="B2" i="3"/>
  <c r="C2" i="3"/>
  <c r="A3" i="3"/>
  <c r="B3" i="3"/>
  <c r="C3" i="3"/>
  <c r="A4" i="3"/>
  <c r="B4" i="3"/>
  <c r="C4" i="3"/>
  <c r="A5" i="3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D13" i="8"/>
  <c r="D12" i="8"/>
  <c r="D11" i="8"/>
  <c r="D10" i="8"/>
  <c r="D9" i="8"/>
  <c r="D8" i="8"/>
  <c r="D7" i="8"/>
  <c r="D6" i="8"/>
  <c r="D5" i="8"/>
  <c r="D4" i="8"/>
  <c r="D3" i="8"/>
  <c r="D2" i="8"/>
  <c r="D13" i="7"/>
  <c r="D12" i="7"/>
  <c r="D11" i="7"/>
  <c r="D10" i="7"/>
  <c r="D9" i="7"/>
  <c r="D8" i="7"/>
  <c r="D7" i="7"/>
  <c r="D6" i="7"/>
  <c r="D5" i="7"/>
  <c r="D4" i="7"/>
  <c r="D3" i="7"/>
  <c r="D2" i="7"/>
  <c r="D13" i="6"/>
  <c r="D12" i="6"/>
  <c r="D11" i="6"/>
  <c r="D10" i="6"/>
  <c r="D9" i="6"/>
  <c r="D8" i="6"/>
  <c r="D7" i="6"/>
  <c r="D6" i="6"/>
  <c r="D5" i="6"/>
  <c r="D4" i="6"/>
  <c r="D3" i="6"/>
  <c r="D2" i="6"/>
  <c r="D13" i="5"/>
  <c r="D12" i="5"/>
  <c r="D11" i="5"/>
  <c r="D10" i="5"/>
  <c r="D9" i="5"/>
  <c r="D8" i="5"/>
  <c r="D7" i="5"/>
  <c r="D6" i="5"/>
  <c r="D5" i="5"/>
  <c r="D4" i="5"/>
  <c r="D3" i="5"/>
  <c r="D2" i="5"/>
  <c r="D13" i="4"/>
  <c r="D12" i="4"/>
  <c r="D11" i="4"/>
  <c r="D10" i="4"/>
  <c r="D9" i="4"/>
  <c r="D8" i="4"/>
  <c r="D7" i="4"/>
  <c r="D6" i="4"/>
  <c r="D5" i="4"/>
  <c r="D4" i="4"/>
  <c r="D3" i="4"/>
  <c r="D2" i="4"/>
  <c r="D13" i="3"/>
  <c r="D12" i="3"/>
  <c r="D11" i="3"/>
  <c r="D10" i="3"/>
  <c r="D9" i="3"/>
  <c r="D8" i="3"/>
  <c r="D7" i="3"/>
  <c r="D6" i="3"/>
  <c r="D5" i="3"/>
  <c r="D4" i="3"/>
  <c r="D3" i="3"/>
  <c r="D2" i="3"/>
  <c r="B22" i="2"/>
  <c r="B21" i="2"/>
  <c r="B20" i="2"/>
  <c r="B19" i="2"/>
  <c r="B18" i="2"/>
  <c r="B17" i="2"/>
  <c r="B16" i="2"/>
  <c r="H6" i="2"/>
  <c r="H13" i="2"/>
  <c r="H12" i="2"/>
  <c r="H11" i="2"/>
  <c r="H10" i="2"/>
  <c r="H9" i="2"/>
  <c r="H8" i="2"/>
  <c r="H7" i="2"/>
  <c r="H5" i="2"/>
  <c r="H4" i="2"/>
  <c r="H3" i="2"/>
  <c r="H2" i="2"/>
  <c r="G2" i="2"/>
  <c r="F2" i="2"/>
  <c r="G13" i="2"/>
  <c r="G12" i="2"/>
  <c r="G11" i="2"/>
  <c r="G10" i="2"/>
  <c r="G9" i="2"/>
  <c r="G8" i="2"/>
  <c r="G7" i="2"/>
  <c r="G6" i="2"/>
  <c r="G5" i="2"/>
  <c r="G4" i="2"/>
  <c r="G3" i="2"/>
  <c r="F13" i="2"/>
  <c r="F12" i="2"/>
  <c r="F11" i="2"/>
  <c r="F10" i="2"/>
  <c r="F9" i="2"/>
  <c r="F8" i="2"/>
  <c r="F7" i="2"/>
  <c r="F6" i="2"/>
  <c r="F5" i="2"/>
  <c r="F4" i="2"/>
  <c r="F3" i="2"/>
  <c r="E13" i="2"/>
  <c r="E12" i="2"/>
  <c r="E11" i="2"/>
  <c r="E10" i="2"/>
  <c r="E9" i="2"/>
  <c r="E8" i="2"/>
  <c r="E7" i="2"/>
  <c r="E6" i="2"/>
  <c r="E5" i="2"/>
  <c r="E4" i="2"/>
  <c r="E3" i="2"/>
  <c r="E2" i="2"/>
  <c r="D13" i="2"/>
  <c r="D12" i="2"/>
  <c r="D11" i="2"/>
  <c r="D10" i="2"/>
  <c r="D9" i="2"/>
  <c r="D8" i="2"/>
  <c r="D7" i="2"/>
  <c r="D6" i="2"/>
  <c r="D5" i="2"/>
  <c r="D4" i="2"/>
  <c r="D3" i="2"/>
  <c r="D2" i="2"/>
  <c r="G7" i="8" l="1"/>
  <c r="E7" i="8"/>
  <c r="F7" i="8" s="1"/>
  <c r="E9" i="7"/>
  <c r="F9" i="7" s="1"/>
  <c r="G9" i="7"/>
  <c r="E7" i="6"/>
  <c r="F7" i="6" s="1"/>
  <c r="G7" i="6"/>
  <c r="G6" i="6"/>
  <c r="E6" i="6"/>
  <c r="F6" i="6" s="1"/>
  <c r="E13" i="3"/>
  <c r="F13" i="3" s="1"/>
  <c r="G13" i="3"/>
  <c r="H13" i="3"/>
  <c r="B20" i="3"/>
  <c r="B21" i="3"/>
  <c r="G13" i="8"/>
  <c r="E13" i="8"/>
  <c r="F13" i="8" s="1"/>
  <c r="G12" i="8"/>
  <c r="E12" i="8"/>
  <c r="F12" i="8" s="1"/>
  <c r="G11" i="8"/>
  <c r="E11" i="8"/>
  <c r="F11" i="8" s="1"/>
  <c r="E10" i="8"/>
  <c r="F10" i="8" s="1"/>
  <c r="G10" i="8"/>
  <c r="G9" i="8"/>
  <c r="E9" i="8"/>
  <c r="F9" i="8" s="1"/>
  <c r="G8" i="8"/>
  <c r="E8" i="8"/>
  <c r="F8" i="8" s="1"/>
  <c r="E6" i="8"/>
  <c r="F6" i="8" s="1"/>
  <c r="G6" i="8"/>
  <c r="G5" i="8"/>
  <c r="E5" i="8"/>
  <c r="F5" i="8" s="1"/>
  <c r="E4" i="8"/>
  <c r="F4" i="8" s="1"/>
  <c r="G4" i="8"/>
  <c r="E3" i="8"/>
  <c r="F3" i="8" s="1"/>
  <c r="G3" i="8"/>
  <c r="H9" i="8"/>
  <c r="H11" i="8"/>
  <c r="H8" i="8"/>
  <c r="H7" i="8"/>
  <c r="H5" i="8"/>
  <c r="B20" i="8"/>
  <c r="H4" i="8"/>
  <c r="H6" i="8"/>
  <c r="H3" i="8"/>
  <c r="G2" i="8"/>
  <c r="B18" i="8" s="1"/>
  <c r="E2" i="8"/>
  <c r="H2" i="8"/>
  <c r="B21" i="8"/>
  <c r="H13" i="8"/>
  <c r="H12" i="8"/>
  <c r="H10" i="8"/>
  <c r="E13" i="7"/>
  <c r="F13" i="7" s="1"/>
  <c r="G13" i="7"/>
  <c r="E12" i="7"/>
  <c r="F12" i="7" s="1"/>
  <c r="G12" i="7"/>
  <c r="G11" i="7"/>
  <c r="E11" i="7"/>
  <c r="F11" i="7" s="1"/>
  <c r="G10" i="7"/>
  <c r="E10" i="7"/>
  <c r="F10" i="7" s="1"/>
  <c r="G8" i="7"/>
  <c r="E8" i="7"/>
  <c r="F8" i="7" s="1"/>
  <c r="E7" i="7"/>
  <c r="F7" i="7" s="1"/>
  <c r="G7" i="7"/>
  <c r="G6" i="7"/>
  <c r="E6" i="7"/>
  <c r="F6" i="7" s="1"/>
  <c r="E5" i="7"/>
  <c r="F5" i="7" s="1"/>
  <c r="G5" i="7"/>
  <c r="G4" i="7"/>
  <c r="E4" i="7"/>
  <c r="F4" i="7" s="1"/>
  <c r="E3" i="7"/>
  <c r="F3" i="7" s="1"/>
  <c r="G3" i="7"/>
  <c r="H3" i="7"/>
  <c r="H2" i="7"/>
  <c r="E2" i="7"/>
  <c r="H12" i="7"/>
  <c r="B20" i="7"/>
  <c r="H13" i="7"/>
  <c r="B21" i="7"/>
  <c r="H11" i="7"/>
  <c r="H10" i="7"/>
  <c r="H9" i="7"/>
  <c r="H8" i="7"/>
  <c r="G2" i="7"/>
  <c r="B18" i="7" s="1"/>
  <c r="H7" i="7"/>
  <c r="H6" i="7"/>
  <c r="H5" i="7"/>
  <c r="H4" i="7"/>
  <c r="E13" i="6"/>
  <c r="F13" i="6" s="1"/>
  <c r="G13" i="6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E8" i="6"/>
  <c r="F8" i="6" s="1"/>
  <c r="G8" i="6"/>
  <c r="G5" i="6"/>
  <c r="E5" i="6"/>
  <c r="F5" i="6" s="1"/>
  <c r="G4" i="6"/>
  <c r="E4" i="6"/>
  <c r="F4" i="6" s="1"/>
  <c r="E3" i="6"/>
  <c r="F3" i="6" s="1"/>
  <c r="G3" i="6"/>
  <c r="H11" i="6"/>
  <c r="H10" i="6"/>
  <c r="H7" i="6"/>
  <c r="B21" i="6"/>
  <c r="H2" i="6"/>
  <c r="H6" i="6"/>
  <c r="E2" i="6"/>
  <c r="H9" i="6"/>
  <c r="H8" i="6"/>
  <c r="G2" i="6"/>
  <c r="H5" i="6"/>
  <c r="H3" i="6"/>
  <c r="H13" i="6"/>
  <c r="H4" i="6"/>
  <c r="B20" i="6"/>
  <c r="H12" i="6"/>
  <c r="E13" i="5"/>
  <c r="F13" i="5" s="1"/>
  <c r="G13" i="5"/>
  <c r="E12" i="5"/>
  <c r="F12" i="5" s="1"/>
  <c r="G12" i="5"/>
  <c r="G11" i="5"/>
  <c r="E11" i="5"/>
  <c r="F11" i="5" s="1"/>
  <c r="E10" i="5"/>
  <c r="F10" i="5" s="1"/>
  <c r="G10" i="5"/>
  <c r="E9" i="5"/>
  <c r="F9" i="5" s="1"/>
  <c r="G9" i="5"/>
  <c r="E8" i="5"/>
  <c r="F8" i="5" s="1"/>
  <c r="G8" i="5"/>
  <c r="G7" i="5"/>
  <c r="E7" i="5"/>
  <c r="F7" i="5" s="1"/>
  <c r="G6" i="5"/>
  <c r="E6" i="5"/>
  <c r="F6" i="5" s="1"/>
  <c r="E5" i="5"/>
  <c r="F5" i="5" s="1"/>
  <c r="G5" i="5"/>
  <c r="G4" i="5"/>
  <c r="E4" i="5"/>
  <c r="F4" i="5" s="1"/>
  <c r="G3" i="5"/>
  <c r="E3" i="5"/>
  <c r="F3" i="5" s="1"/>
  <c r="H10" i="5"/>
  <c r="H11" i="5"/>
  <c r="H2" i="5"/>
  <c r="H3" i="5"/>
  <c r="B21" i="5"/>
  <c r="H13" i="5"/>
  <c r="H5" i="5"/>
  <c r="E2" i="5"/>
  <c r="H6" i="5"/>
  <c r="H9" i="5"/>
  <c r="H8" i="5"/>
  <c r="H7" i="5"/>
  <c r="H12" i="5"/>
  <c r="H4" i="5"/>
  <c r="B20" i="5"/>
  <c r="G2" i="5"/>
  <c r="G13" i="4"/>
  <c r="E13" i="4"/>
  <c r="F13" i="4" s="1"/>
  <c r="E12" i="4"/>
  <c r="F12" i="4" s="1"/>
  <c r="G12" i="4"/>
  <c r="E11" i="4"/>
  <c r="F11" i="4" s="1"/>
  <c r="G11" i="4"/>
  <c r="E10" i="4"/>
  <c r="F10" i="4" s="1"/>
  <c r="G10" i="4"/>
  <c r="G9" i="4"/>
  <c r="E9" i="4"/>
  <c r="F9" i="4" s="1"/>
  <c r="G8" i="4"/>
  <c r="E8" i="4"/>
  <c r="F8" i="4" s="1"/>
  <c r="G7" i="4"/>
  <c r="E7" i="4"/>
  <c r="F7" i="4" s="1"/>
  <c r="E6" i="4"/>
  <c r="F6" i="4" s="1"/>
  <c r="G6" i="4"/>
  <c r="E5" i="4"/>
  <c r="F5" i="4" s="1"/>
  <c r="G5" i="4"/>
  <c r="E4" i="4"/>
  <c r="F4" i="4" s="1"/>
  <c r="G4" i="4"/>
  <c r="G3" i="4"/>
  <c r="E3" i="4"/>
  <c r="F3" i="4" s="1"/>
  <c r="H4" i="4"/>
  <c r="H5" i="4"/>
  <c r="B21" i="4"/>
  <c r="H13" i="4"/>
  <c r="H8" i="4"/>
  <c r="H6" i="4"/>
  <c r="H10" i="4"/>
  <c r="H7" i="4"/>
  <c r="B20" i="4"/>
  <c r="H12" i="4"/>
  <c r="H11" i="4"/>
  <c r="H9" i="4"/>
  <c r="H3" i="4"/>
  <c r="H2" i="4"/>
  <c r="G2" i="4"/>
  <c r="B18" i="4" s="1"/>
  <c r="E2" i="4"/>
  <c r="E12" i="3"/>
  <c r="F12" i="3" s="1"/>
  <c r="G12" i="3"/>
  <c r="E11" i="3"/>
  <c r="F11" i="3" s="1"/>
  <c r="G11" i="3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G5" i="3"/>
  <c r="E5" i="3"/>
  <c r="F5" i="3" s="1"/>
  <c r="E4" i="3"/>
  <c r="F4" i="3" s="1"/>
  <c r="G4" i="3"/>
  <c r="G3" i="3"/>
  <c r="E3" i="3"/>
  <c r="F3" i="3" s="1"/>
  <c r="H12" i="3"/>
  <c r="H10" i="3"/>
  <c r="H8" i="3"/>
  <c r="H9" i="3"/>
  <c r="H2" i="3"/>
  <c r="G2" i="3"/>
  <c r="H7" i="3"/>
  <c r="H3" i="3"/>
  <c r="H6" i="3"/>
  <c r="H5" i="3"/>
  <c r="H4" i="3"/>
  <c r="H11" i="3"/>
  <c r="E2" i="3"/>
  <c r="B18" i="6" l="1"/>
  <c r="B18" i="3"/>
  <c r="B16" i="7"/>
  <c r="F2" i="7"/>
  <c r="F2" i="8"/>
  <c r="B17" i="8" s="1"/>
  <c r="B16" i="8"/>
  <c r="B22" i="8" s="1"/>
  <c r="B19" i="8"/>
  <c r="B19" i="7"/>
  <c r="B22" i="7"/>
  <c r="B17" i="7"/>
  <c r="B19" i="6"/>
  <c r="B16" i="6"/>
  <c r="B22" i="6" s="1"/>
  <c r="F2" i="6"/>
  <c r="B17" i="6" s="1"/>
  <c r="B16" i="5"/>
  <c r="B22" i="5" s="1"/>
  <c r="B19" i="5"/>
  <c r="F2" i="5"/>
  <c r="B17" i="5" s="1"/>
  <c r="B19" i="4"/>
  <c r="F2" i="4"/>
  <c r="B17" i="4" s="1"/>
  <c r="B16" i="4"/>
  <c r="B22" i="4" s="1"/>
  <c r="F2" i="3"/>
  <c r="B17" i="3" s="1"/>
  <c r="B16" i="3"/>
  <c r="B22" i="3" s="1"/>
  <c r="B19" i="3"/>
  <c r="B18" i="5"/>
</calcChain>
</file>

<file path=xl/sharedStrings.xml><?xml version="1.0" encoding="utf-8"?>
<sst xmlns="http://schemas.openxmlformats.org/spreadsheetml/2006/main" count="116" uniqueCount="23">
  <si>
    <t>Week</t>
  </si>
  <si>
    <t>Actual</t>
  </si>
  <si>
    <t>Naive</t>
  </si>
  <si>
    <t>Seasonal Naive (52w)</t>
  </si>
  <si>
    <t>Moving Avg (4w)</t>
  </si>
  <si>
    <t>SES alpha=0.3</t>
  </si>
  <si>
    <t>SES alpha=0.6</t>
  </si>
  <si>
    <t>Holt-Winters (damped, 52w)</t>
  </si>
  <si>
    <t>Trend + Event regression</t>
  </si>
  <si>
    <t>Error</t>
  </si>
  <si>
    <t>ABS ERROR</t>
  </si>
  <si>
    <t>%Error</t>
  </si>
  <si>
    <t>Error^2</t>
  </si>
  <si>
    <t>Running RSFE</t>
  </si>
  <si>
    <t>MAD</t>
  </si>
  <si>
    <t>MAPE</t>
  </si>
  <si>
    <t>RMSE</t>
  </si>
  <si>
    <t>WAPE</t>
  </si>
  <si>
    <t>Bias</t>
  </si>
  <si>
    <t>RSFE</t>
  </si>
  <si>
    <t>Tracking Signal</t>
  </si>
  <si>
    <t>I choose Holt's winter because my Crude oil demand is seasonal, other models fail to capture the seasonality of the demand but holt-winter's captures it better than others</t>
  </si>
  <si>
    <t>Event+regression is biased towards underforecasts which is extremely bad for the Oil demand and the entire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</si>
</sst>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0.00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9" fontId="0" fillId="0" borderId="0" xfId="2" applyFont="1"/>
    <xf numFmtId="10" fontId="0" fillId="0" borderId="0" xfId="2" applyNumberFormat="1" applyFont="1"/>
    <xf numFmtId="10" fontId="0" fillId="0" borderId="0" xfId="0" applyNumberFormat="1"/>
    <xf numFmtId="14" fontId="3" fillId="0" borderId="0" xfId="0" applyNumberFormat="1" applyFont="1"/>
    <xf numFmtId="0" fontId="3" fillId="0" borderId="0" xfId="0" applyFont="1"/>
    <xf numFmtId="43" fontId="0" fillId="0" borderId="0" xfId="1" applyFont="1"/>
    <xf numFmtId="165" fontId="0" fillId="0" borderId="0" xfId="2" applyNumberFormat="1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6D6019-7FC3-40E2-959B-408A5462D946}">
  <we:reference id="WA200009152" version="1.0.0.4" store="Omex" storeType="OMEX"/>
  <we:alternateReferences>
    <we:reference id="WA200009152" version="1.0.0.4" store="WA200009152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C16" sqref="C16"/>
    </sheetView>
  </sheetViews>
  <sheetFormatPr defaultRowHeight="14.5" x14ac:dyDescent="0.35"/>
  <cols>
    <col min="1" max="1" width="17.81640625" bestFit="1" customWidth="1"/>
    <col min="2" max="3" width="6.81640625" bestFit="1" customWidth="1"/>
    <col min="4" max="4" width="18.6328125" bestFit="1" customWidth="1"/>
    <col min="5" max="5" width="14.7265625" bestFit="1" customWidth="1"/>
    <col min="6" max="7" width="12.26953125" bestFit="1" customWidth="1"/>
    <col min="8" max="8" width="25" bestFit="1" customWidth="1"/>
    <col min="9" max="9" width="21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1" t="s">
        <v>8</v>
      </c>
    </row>
    <row r="2" spans="1:9" x14ac:dyDescent="0.35">
      <c r="A2" s="2">
        <v>46118</v>
      </c>
      <c r="B2">
        <v>251658</v>
      </c>
      <c r="C2">
        <v>203370</v>
      </c>
      <c r="D2">
        <v>225104</v>
      </c>
      <c r="E2">
        <v>209795.75</v>
      </c>
      <c r="F2">
        <v>209920.9229932772</v>
      </c>
      <c r="G2">
        <v>205113.12827634861</v>
      </c>
      <c r="H2" s="11">
        <v>221566.05589652469</v>
      </c>
      <c r="I2">
        <v>227314.93764568761</v>
      </c>
    </row>
    <row r="3" spans="1:9" x14ac:dyDescent="0.35">
      <c r="A3" s="2">
        <v>46125</v>
      </c>
      <c r="B3">
        <v>237494</v>
      </c>
      <c r="C3">
        <v>203370</v>
      </c>
      <c r="D3">
        <v>244761</v>
      </c>
      <c r="E3">
        <v>209795.75</v>
      </c>
      <c r="F3">
        <v>209920.9229932772</v>
      </c>
      <c r="G3">
        <v>205113.12827634861</v>
      </c>
      <c r="H3" s="11">
        <v>219395.18750123421</v>
      </c>
      <c r="I3">
        <v>227260.0338678562</v>
      </c>
    </row>
    <row r="4" spans="1:9" x14ac:dyDescent="0.35">
      <c r="A4" s="2">
        <v>46132</v>
      </c>
      <c r="B4">
        <v>258321</v>
      </c>
      <c r="C4">
        <v>203370</v>
      </c>
      <c r="D4">
        <v>212389</v>
      </c>
      <c r="E4">
        <v>209795.75</v>
      </c>
      <c r="F4">
        <v>209920.9229932772</v>
      </c>
      <c r="G4">
        <v>205113.12827634861</v>
      </c>
      <c r="H4" s="11">
        <v>226799.15893994269</v>
      </c>
      <c r="I4">
        <v>227205.13009002479</v>
      </c>
    </row>
    <row r="5" spans="1:9" x14ac:dyDescent="0.35">
      <c r="A5" s="2">
        <v>46139</v>
      </c>
      <c r="B5">
        <v>251383</v>
      </c>
      <c r="C5">
        <v>203370</v>
      </c>
      <c r="D5">
        <v>207401</v>
      </c>
      <c r="E5">
        <v>209795.75</v>
      </c>
      <c r="F5">
        <v>209920.9229932772</v>
      </c>
      <c r="G5">
        <v>205113.12827634861</v>
      </c>
      <c r="H5" s="11">
        <v>213639.46390911521</v>
      </c>
      <c r="I5">
        <v>227150.2263121935</v>
      </c>
    </row>
    <row r="6" spans="1:9" x14ac:dyDescent="0.35">
      <c r="A6" s="2">
        <v>46146</v>
      </c>
      <c r="B6">
        <v>251780</v>
      </c>
      <c r="C6">
        <v>203370</v>
      </c>
      <c r="D6">
        <v>217028</v>
      </c>
      <c r="E6">
        <v>209795.75</v>
      </c>
      <c r="F6">
        <v>209920.9229932772</v>
      </c>
      <c r="G6">
        <v>205113.12827634861</v>
      </c>
      <c r="H6" s="11">
        <v>251455.01336544109</v>
      </c>
      <c r="I6">
        <v>227095.32253436209</v>
      </c>
    </row>
    <row r="7" spans="1:9" x14ac:dyDescent="0.35">
      <c r="A7" s="2">
        <v>46153</v>
      </c>
      <c r="B7">
        <v>227791</v>
      </c>
      <c r="C7">
        <v>203370</v>
      </c>
      <c r="D7">
        <v>225701</v>
      </c>
      <c r="E7">
        <v>209795.75</v>
      </c>
      <c r="F7">
        <v>209920.9229932772</v>
      </c>
      <c r="G7">
        <v>205113.12827634861</v>
      </c>
      <c r="H7" s="11">
        <v>250015.060090588</v>
      </c>
      <c r="I7">
        <v>227040.41875653071</v>
      </c>
    </row>
    <row r="8" spans="1:9" x14ac:dyDescent="0.35">
      <c r="A8" s="2">
        <v>46160</v>
      </c>
      <c r="B8">
        <v>235851</v>
      </c>
      <c r="C8">
        <v>203370</v>
      </c>
      <c r="D8">
        <v>264702</v>
      </c>
      <c r="E8">
        <v>209795.75</v>
      </c>
      <c r="F8">
        <v>209920.9229932772</v>
      </c>
      <c r="G8">
        <v>205113.12827634861</v>
      </c>
      <c r="H8" s="11">
        <v>232911.6284061576</v>
      </c>
      <c r="I8">
        <v>226985.51497869939</v>
      </c>
    </row>
    <row r="9" spans="1:9" x14ac:dyDescent="0.35">
      <c r="A9" s="2">
        <v>46167</v>
      </c>
      <c r="B9">
        <v>226984</v>
      </c>
      <c r="C9">
        <v>203370</v>
      </c>
      <c r="D9">
        <v>250106</v>
      </c>
      <c r="E9">
        <v>209795.75</v>
      </c>
      <c r="F9">
        <v>209920.9229932772</v>
      </c>
      <c r="G9">
        <v>205113.12827634861</v>
      </c>
      <c r="H9" s="11">
        <v>240671.05060577899</v>
      </c>
      <c r="I9">
        <v>226930.61120086801</v>
      </c>
    </row>
    <row r="10" spans="1:9" x14ac:dyDescent="0.35">
      <c r="A10" s="2">
        <v>46174</v>
      </c>
      <c r="B10">
        <v>228910</v>
      </c>
      <c r="C10">
        <v>203370</v>
      </c>
      <c r="D10">
        <v>223922</v>
      </c>
      <c r="E10">
        <v>209795.75</v>
      </c>
      <c r="F10">
        <v>209920.9229932772</v>
      </c>
      <c r="G10">
        <v>205113.12827634861</v>
      </c>
      <c r="H10" s="11">
        <v>236388.31722161459</v>
      </c>
      <c r="I10">
        <v>226875.70742303671</v>
      </c>
    </row>
    <row r="11" spans="1:9" x14ac:dyDescent="0.35">
      <c r="A11" s="2">
        <v>46181</v>
      </c>
      <c r="B11">
        <v>228163</v>
      </c>
      <c r="C11">
        <v>203370</v>
      </c>
      <c r="D11">
        <v>219537</v>
      </c>
      <c r="E11">
        <v>209795.75</v>
      </c>
      <c r="F11">
        <v>209920.9229932772</v>
      </c>
      <c r="G11">
        <v>205113.12827634861</v>
      </c>
      <c r="H11" s="11">
        <v>232420.37190271859</v>
      </c>
      <c r="I11">
        <v>226820.80364520531</v>
      </c>
    </row>
    <row r="12" spans="1:9" x14ac:dyDescent="0.35">
      <c r="A12" s="2">
        <v>46188</v>
      </c>
      <c r="B12">
        <v>229601</v>
      </c>
      <c r="C12">
        <v>203370</v>
      </c>
      <c r="D12">
        <v>219614</v>
      </c>
      <c r="E12">
        <v>209795.75</v>
      </c>
      <c r="F12">
        <v>209920.9229932772</v>
      </c>
      <c r="G12">
        <v>205113.12827634861</v>
      </c>
      <c r="H12" s="11">
        <v>254557.10515818541</v>
      </c>
      <c r="I12">
        <v>226765.8998673739</v>
      </c>
    </row>
    <row r="13" spans="1:9" x14ac:dyDescent="0.35">
      <c r="A13" s="2">
        <v>46195</v>
      </c>
      <c r="B13">
        <v>233146</v>
      </c>
      <c r="C13">
        <v>203370</v>
      </c>
      <c r="D13">
        <v>220538</v>
      </c>
      <c r="E13">
        <v>209795.75</v>
      </c>
      <c r="F13">
        <v>209920.9229932772</v>
      </c>
      <c r="G13">
        <v>205113.12827634861</v>
      </c>
      <c r="H13" s="11">
        <v>255938.41548008411</v>
      </c>
      <c r="I13">
        <v>226710.9960895426</v>
      </c>
    </row>
    <row r="15" spans="1:9" x14ac:dyDescent="0.35">
      <c r="A15" t="s">
        <v>21</v>
      </c>
    </row>
    <row r="17" spans="1:1" x14ac:dyDescent="0.35">
      <c r="A17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7E60-E9ED-4DC1-B2CA-C7E235190104}">
  <dimension ref="A1:H22"/>
  <sheetViews>
    <sheetView tabSelected="1" topLeftCell="A7" workbookViewId="0">
      <selection activeCell="B16" sqref="B16"/>
    </sheetView>
  </sheetViews>
  <sheetFormatPr defaultRowHeight="14.5" x14ac:dyDescent="0.35"/>
  <cols>
    <col min="1" max="1" width="13.08984375" bestFit="1" customWidth="1"/>
    <col min="2" max="2" width="11.81640625" bestFit="1" customWidth="1"/>
    <col min="3" max="3" width="25" bestFit="1" customWidth="1"/>
    <col min="4" max="4" width="12.453125" bestFit="1" customWidth="1"/>
    <col min="5" max="5" width="11.81640625" bestFit="1" customWidth="1"/>
    <col min="6" max="6" width="6.81640625" bestFit="1" customWidth="1"/>
    <col min="7" max="7" width="11.81640625" bestFit="1" customWidth="1"/>
    <col min="8" max="8" width="12" bestFit="1" customWidth="1"/>
  </cols>
  <sheetData>
    <row r="1" spans="1:8" x14ac:dyDescent="0.35">
      <c r="A1" s="1" t="s">
        <v>0</v>
      </c>
      <c r="B1" s="1" t="s">
        <v>1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6">
        <f>'Forecasts (Colab)'!A2</f>
        <v>46118</v>
      </c>
      <c r="B2" s="7">
        <f>'Forecasts (Colab)'!B2</f>
        <v>251658</v>
      </c>
      <c r="C2" s="7">
        <f>'Forecasts (Colab)'!H2</f>
        <v>221566.05589652469</v>
      </c>
      <c r="D2">
        <f>B2-C2</f>
        <v>30091.944103475311</v>
      </c>
      <c r="E2">
        <f>ABS(D2)</f>
        <v>30091.944103475311</v>
      </c>
      <c r="F2" s="4">
        <f>E2/B2</f>
        <v>0.11957475662794471</v>
      </c>
      <c r="G2">
        <f>D2^2</f>
        <v>905525099.92668247</v>
      </c>
      <c r="H2">
        <f>SUM($D$2:D2)</f>
        <v>30091.944103475311</v>
      </c>
    </row>
    <row r="3" spans="1:8" x14ac:dyDescent="0.35">
      <c r="A3" s="6">
        <f>'Forecasts (Colab)'!A3</f>
        <v>46125</v>
      </c>
      <c r="B3" s="7">
        <f>'Forecasts (Colab)'!B3</f>
        <v>237494</v>
      </c>
      <c r="C3" s="7">
        <f>'Forecasts (Colab)'!H3</f>
        <v>219395.18750123421</v>
      </c>
      <c r="D3">
        <f t="shared" ref="D3:D13" si="0">B3-C3</f>
        <v>18098.812498765794</v>
      </c>
      <c r="E3">
        <f t="shared" ref="E3:E13" si="1">ABS(D3)</f>
        <v>18098.812498765794</v>
      </c>
      <c r="F3" s="4">
        <f t="shared" ref="F3:F13" si="2">E3/B3</f>
        <v>7.6207451551474112E-2</v>
      </c>
      <c r="G3">
        <f t="shared" ref="G3:G13" si="3">D3^2</f>
        <v>327567013.8654809</v>
      </c>
      <c r="H3">
        <f>SUM($D$2:D3)</f>
        <v>48190.756602241105</v>
      </c>
    </row>
    <row r="4" spans="1:8" x14ac:dyDescent="0.35">
      <c r="A4" s="6">
        <f>'Forecasts (Colab)'!A4</f>
        <v>46132</v>
      </c>
      <c r="B4" s="7">
        <f>'Forecasts (Colab)'!B4</f>
        <v>258321</v>
      </c>
      <c r="C4" s="7">
        <f>'Forecasts (Colab)'!H4</f>
        <v>226799.15893994269</v>
      </c>
      <c r="D4">
        <f t="shared" si="0"/>
        <v>31521.841060057312</v>
      </c>
      <c r="E4">
        <f t="shared" si="1"/>
        <v>31521.841060057312</v>
      </c>
      <c r="F4" s="4">
        <f t="shared" si="2"/>
        <v>0.12202585566042758</v>
      </c>
      <c r="G4">
        <f t="shared" si="3"/>
        <v>993626463.81551504</v>
      </c>
      <c r="H4">
        <f>SUM($D$2:D4)</f>
        <v>79712.597662298416</v>
      </c>
    </row>
    <row r="5" spans="1:8" x14ac:dyDescent="0.35">
      <c r="A5" s="6">
        <f>'Forecasts (Colab)'!A5</f>
        <v>46139</v>
      </c>
      <c r="B5" s="7">
        <f>'Forecasts (Colab)'!B5</f>
        <v>251383</v>
      </c>
      <c r="C5" s="7">
        <f>'Forecasts (Colab)'!H5</f>
        <v>213639.46390911521</v>
      </c>
      <c r="D5">
        <f t="shared" si="0"/>
        <v>37743.536090884794</v>
      </c>
      <c r="E5">
        <f t="shared" si="1"/>
        <v>37743.536090884794</v>
      </c>
      <c r="F5" s="4">
        <f t="shared" si="2"/>
        <v>0.15014355024359163</v>
      </c>
      <c r="G5">
        <f t="shared" si="3"/>
        <v>1424574516.643923</v>
      </c>
      <c r="H5">
        <f>SUM($D$2:D5)</f>
        <v>117456.13375318321</v>
      </c>
    </row>
    <row r="6" spans="1:8" x14ac:dyDescent="0.35">
      <c r="A6" s="6">
        <f>'Forecasts (Colab)'!A6</f>
        <v>46146</v>
      </c>
      <c r="B6" s="7">
        <f>'Forecasts (Colab)'!B6</f>
        <v>251780</v>
      </c>
      <c r="C6" s="7">
        <f>'Forecasts (Colab)'!H6</f>
        <v>251455.01336544109</v>
      </c>
      <c r="D6">
        <f t="shared" si="0"/>
        <v>324.98663455891074</v>
      </c>
      <c r="E6">
        <f t="shared" si="1"/>
        <v>324.98663455891074</v>
      </c>
      <c r="F6" s="4">
        <f t="shared" si="2"/>
        <v>1.2907563530022668E-3</v>
      </c>
      <c r="G6">
        <f t="shared" si="3"/>
        <v>105616.312641927</v>
      </c>
      <c r="H6">
        <f>SUM($D$2:D6)</f>
        <v>117781.12038774212</v>
      </c>
    </row>
    <row r="7" spans="1:8" x14ac:dyDescent="0.35">
      <c r="A7" s="6">
        <f>'Forecasts (Colab)'!A7</f>
        <v>46153</v>
      </c>
      <c r="B7" s="7">
        <f>'Forecasts (Colab)'!B7</f>
        <v>227791</v>
      </c>
      <c r="C7" s="7">
        <f>'Forecasts (Colab)'!H7</f>
        <v>250015.060090588</v>
      </c>
      <c r="D7">
        <f t="shared" si="0"/>
        <v>-22224.060090587998</v>
      </c>
      <c r="E7">
        <f t="shared" si="1"/>
        <v>22224.060090587998</v>
      </c>
      <c r="F7" s="4">
        <f t="shared" si="2"/>
        <v>9.7563380864862964E-2</v>
      </c>
      <c r="G7">
        <f t="shared" si="3"/>
        <v>493908846.91006625</v>
      </c>
      <c r="H7">
        <f>SUM($D$2:D7)</f>
        <v>95557.060297154123</v>
      </c>
    </row>
    <row r="8" spans="1:8" x14ac:dyDescent="0.35">
      <c r="A8" s="6">
        <f>'Forecasts (Colab)'!A8</f>
        <v>46160</v>
      </c>
      <c r="B8" s="7">
        <f>'Forecasts (Colab)'!B8</f>
        <v>235851</v>
      </c>
      <c r="C8" s="7">
        <f>'Forecasts (Colab)'!H8</f>
        <v>232911.6284061576</v>
      </c>
      <c r="D8">
        <f t="shared" si="0"/>
        <v>2939.3715938423993</v>
      </c>
      <c r="E8">
        <f t="shared" si="1"/>
        <v>2939.3715938423993</v>
      </c>
      <c r="F8" s="4">
        <f t="shared" si="2"/>
        <v>1.2462832864148973E-2</v>
      </c>
      <c r="G8">
        <f t="shared" si="3"/>
        <v>8639905.366687607</v>
      </c>
      <c r="H8">
        <f>SUM($D$2:D8)</f>
        <v>98496.431890996522</v>
      </c>
    </row>
    <row r="9" spans="1:8" x14ac:dyDescent="0.35">
      <c r="A9" s="6">
        <f>'Forecasts (Colab)'!A9</f>
        <v>46167</v>
      </c>
      <c r="B9" s="7">
        <f>'Forecasts (Colab)'!B9</f>
        <v>226984</v>
      </c>
      <c r="C9" s="7">
        <f>'Forecasts (Colab)'!H9</f>
        <v>240671.05060577899</v>
      </c>
      <c r="D9">
        <f t="shared" si="0"/>
        <v>-13687.05060577899</v>
      </c>
      <c r="E9">
        <f t="shared" si="1"/>
        <v>13687.05060577899</v>
      </c>
      <c r="F9" s="4">
        <f t="shared" si="2"/>
        <v>6.0299627311964678E-2</v>
      </c>
      <c r="G9">
        <f t="shared" si="3"/>
        <v>187335354.285155</v>
      </c>
      <c r="H9">
        <f>SUM($D$2:D9)</f>
        <v>84809.381285217532</v>
      </c>
    </row>
    <row r="10" spans="1:8" x14ac:dyDescent="0.35">
      <c r="A10" s="6">
        <f>'Forecasts (Colab)'!A10</f>
        <v>46174</v>
      </c>
      <c r="B10" s="7">
        <f>'Forecasts (Colab)'!B10</f>
        <v>228910</v>
      </c>
      <c r="C10" s="7">
        <f>'Forecasts (Colab)'!H10</f>
        <v>236388.31722161459</v>
      </c>
      <c r="D10">
        <f t="shared" si="0"/>
        <v>-7478.3172216145904</v>
      </c>
      <c r="E10">
        <f t="shared" si="1"/>
        <v>7478.3172216145904</v>
      </c>
      <c r="F10" s="4">
        <f t="shared" si="2"/>
        <v>3.2669246523151417E-2</v>
      </c>
      <c r="G10">
        <f t="shared" si="3"/>
        <v>55925228.467097364</v>
      </c>
      <c r="H10">
        <f>SUM($D$2:D10)</f>
        <v>77331.064063602942</v>
      </c>
    </row>
    <row r="11" spans="1:8" x14ac:dyDescent="0.35">
      <c r="A11" s="6">
        <f>'Forecasts (Colab)'!A11</f>
        <v>46181</v>
      </c>
      <c r="B11" s="7">
        <f>'Forecasts (Colab)'!B11</f>
        <v>228163</v>
      </c>
      <c r="C11" s="7">
        <f>'Forecasts (Colab)'!H11</f>
        <v>232420.37190271859</v>
      </c>
      <c r="D11">
        <f t="shared" si="0"/>
        <v>-4257.3719027185871</v>
      </c>
      <c r="E11">
        <f t="shared" si="1"/>
        <v>4257.3719027185871</v>
      </c>
      <c r="F11" s="4">
        <f t="shared" si="2"/>
        <v>1.8659343989685388E-2</v>
      </c>
      <c r="G11">
        <f t="shared" si="3"/>
        <v>18125215.518057682</v>
      </c>
      <c r="H11">
        <f>SUM($D$2:D11)</f>
        <v>73073.692160884355</v>
      </c>
    </row>
    <row r="12" spans="1:8" x14ac:dyDescent="0.35">
      <c r="A12" s="6">
        <f>'Forecasts (Colab)'!A12</f>
        <v>46188</v>
      </c>
      <c r="B12" s="7">
        <f>'Forecasts (Colab)'!B12</f>
        <v>229601</v>
      </c>
      <c r="C12" s="7">
        <f>'Forecasts (Colab)'!H12</f>
        <v>254557.10515818541</v>
      </c>
      <c r="D12">
        <f t="shared" si="0"/>
        <v>-24956.105158185412</v>
      </c>
      <c r="E12">
        <f t="shared" si="1"/>
        <v>24956.105158185412</v>
      </c>
      <c r="F12" s="4">
        <f t="shared" si="2"/>
        <v>0.10869336439381977</v>
      </c>
      <c r="G12">
        <f t="shared" si="3"/>
        <v>622807184.66640854</v>
      </c>
      <c r="H12">
        <f>SUM($D$2:D12)</f>
        <v>48117.587002698943</v>
      </c>
    </row>
    <row r="13" spans="1:8" x14ac:dyDescent="0.35">
      <c r="A13" s="6">
        <f>'Forecasts (Colab)'!A13</f>
        <v>46195</v>
      </c>
      <c r="B13" s="7">
        <f>'Forecasts (Colab)'!B13</f>
        <v>233146</v>
      </c>
      <c r="C13" s="7">
        <f>'Forecasts (Colab)'!H13</f>
        <v>255938.41548008411</v>
      </c>
      <c r="D13">
        <f t="shared" si="0"/>
        <v>-22792.415480084106</v>
      </c>
      <c r="E13">
        <f t="shared" si="1"/>
        <v>22792.415480084106</v>
      </c>
      <c r="F13" s="4">
        <f t="shared" si="2"/>
        <v>9.7760268158510577E-2</v>
      </c>
      <c r="G13">
        <f t="shared" si="3"/>
        <v>519494203.41677761</v>
      </c>
      <c r="H13">
        <f>SUM($D$2:D13)</f>
        <v>25325.171522614837</v>
      </c>
    </row>
    <row r="16" spans="1:8" x14ac:dyDescent="0.35">
      <c r="A16" t="s">
        <v>14</v>
      </c>
      <c r="B16" s="8">
        <f>AVERAGE(E2:E13)</f>
        <v>18009.65103671285</v>
      </c>
    </row>
    <row r="17" spans="1:5" x14ac:dyDescent="0.35">
      <c r="A17" t="s">
        <v>15</v>
      </c>
      <c r="B17" s="5">
        <f>AVERAGE(F2:F13)</f>
        <v>7.4779202878548667E-2</v>
      </c>
      <c r="E17" s="9"/>
    </row>
    <row r="18" spans="1:5" x14ac:dyDescent="0.35">
      <c r="A18" t="s">
        <v>16</v>
      </c>
      <c r="B18" s="8">
        <f>SQRT(AVERAGE(G2:G13))</f>
        <v>21520.599916503437</v>
      </c>
    </row>
    <row r="19" spans="1:5" x14ac:dyDescent="0.35">
      <c r="A19" t="s">
        <v>17</v>
      </c>
      <c r="B19" s="4">
        <f>SUM(E2:E13)/SUM(B2:B13)</f>
        <v>7.5536392330088478E-2</v>
      </c>
    </row>
    <row r="20" spans="1:5" x14ac:dyDescent="0.35">
      <c r="A20" t="s">
        <v>18</v>
      </c>
      <c r="B20" s="8">
        <f>AVERAGE(D2:D13)</f>
        <v>2110.4309602179032</v>
      </c>
    </row>
    <row r="21" spans="1:5" x14ac:dyDescent="0.35">
      <c r="A21" t="s">
        <v>19</v>
      </c>
      <c r="B21" s="8">
        <f>SUM(D2:D13)</f>
        <v>25325.171522614837</v>
      </c>
    </row>
    <row r="22" spans="1:5" x14ac:dyDescent="0.35">
      <c r="A22" t="s">
        <v>20</v>
      </c>
      <c r="B22" s="8">
        <f>B21/B16</f>
        <v>1.4062000130368559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FD78-6991-4FF4-BB74-C54982DA4E12}">
  <dimension ref="A1:H22"/>
  <sheetViews>
    <sheetView workbookViewId="0">
      <selection activeCell="B3" sqref="B3"/>
    </sheetView>
  </sheetViews>
  <sheetFormatPr defaultRowHeight="14.5" x14ac:dyDescent="0.35"/>
  <cols>
    <col min="1" max="1" width="13.08984375" bestFit="1" customWidth="1"/>
    <col min="2" max="3" width="6.81640625" bestFit="1" customWidth="1"/>
    <col min="4" max="4" width="5.81640625" bestFit="1" customWidth="1"/>
    <col min="5" max="5" width="10.08984375" bestFit="1" customWidth="1"/>
    <col min="6" max="6" width="11.81640625" bestFit="1" customWidth="1"/>
    <col min="7" max="7" width="10.81640625" bestFit="1" customWidth="1"/>
    <col min="8" max="8" width="12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2">
        <v>46118</v>
      </c>
      <c r="B2">
        <v>251658</v>
      </c>
      <c r="C2">
        <v>203370</v>
      </c>
      <c r="D2">
        <f>B2-C2</f>
        <v>48288</v>
      </c>
      <c r="E2">
        <f>ABS(D2)</f>
        <v>48288</v>
      </c>
      <c r="F2" s="4">
        <f>E2/B2</f>
        <v>0.19187945545144602</v>
      </c>
      <c r="G2">
        <f>D2^2</f>
        <v>2331730944</v>
      </c>
      <c r="H2">
        <f>SUM($D$2:D2)</f>
        <v>48288</v>
      </c>
    </row>
    <row r="3" spans="1:8" x14ac:dyDescent="0.35">
      <c r="A3" s="2">
        <v>46125</v>
      </c>
      <c r="B3">
        <v>237494</v>
      </c>
      <c r="C3">
        <v>203370</v>
      </c>
      <c r="D3">
        <f t="shared" ref="D3:D13" si="0">B3-C3</f>
        <v>34124</v>
      </c>
      <c r="E3">
        <f t="shared" ref="E3:E13" si="1">ABS(D3)</f>
        <v>34124</v>
      </c>
      <c r="F3" s="4">
        <f t="shared" ref="F3:F13" si="2">E3/B3</f>
        <v>0.1436836299022291</v>
      </c>
      <c r="G3">
        <f t="shared" ref="G3:G13" si="3">D3^2</f>
        <v>1164447376</v>
      </c>
      <c r="H3">
        <f>SUM($D$2:D3)</f>
        <v>82412</v>
      </c>
    </row>
    <row r="4" spans="1:8" x14ac:dyDescent="0.35">
      <c r="A4" s="2">
        <v>46132</v>
      </c>
      <c r="B4">
        <v>258321</v>
      </c>
      <c r="C4">
        <v>203370</v>
      </c>
      <c r="D4">
        <f t="shared" si="0"/>
        <v>54951</v>
      </c>
      <c r="E4">
        <f t="shared" si="1"/>
        <v>54951</v>
      </c>
      <c r="F4" s="4">
        <f t="shared" si="2"/>
        <v>0.21272370422845993</v>
      </c>
      <c r="G4">
        <f t="shared" si="3"/>
        <v>3019612401</v>
      </c>
      <c r="H4">
        <f>SUM($D$2:D4)</f>
        <v>137363</v>
      </c>
    </row>
    <row r="5" spans="1:8" x14ac:dyDescent="0.35">
      <c r="A5" s="2">
        <v>46139</v>
      </c>
      <c r="B5">
        <v>251383</v>
      </c>
      <c r="C5">
        <v>203370</v>
      </c>
      <c r="D5">
        <f t="shared" si="0"/>
        <v>48013</v>
      </c>
      <c r="E5">
        <f t="shared" si="1"/>
        <v>48013</v>
      </c>
      <c r="F5" s="4">
        <f t="shared" si="2"/>
        <v>0.19099541337321935</v>
      </c>
      <c r="G5">
        <f t="shared" si="3"/>
        <v>2305248169</v>
      </c>
      <c r="H5">
        <f>SUM($D$2:D5)</f>
        <v>185376</v>
      </c>
    </row>
    <row r="6" spans="1:8" x14ac:dyDescent="0.35">
      <c r="A6" s="2">
        <v>46146</v>
      </c>
      <c r="B6">
        <v>251780</v>
      </c>
      <c r="C6">
        <v>203370</v>
      </c>
      <c r="D6">
        <f t="shared" si="0"/>
        <v>48410</v>
      </c>
      <c r="E6">
        <f t="shared" si="1"/>
        <v>48410</v>
      </c>
      <c r="F6" s="4">
        <f t="shared" si="2"/>
        <v>0.19227103026451664</v>
      </c>
      <c r="G6">
        <f t="shared" si="3"/>
        <v>2343528100</v>
      </c>
      <c r="H6">
        <f>SUM($D$2:D6)</f>
        <v>233786</v>
      </c>
    </row>
    <row r="7" spans="1:8" x14ac:dyDescent="0.35">
      <c r="A7" s="2">
        <v>46153</v>
      </c>
      <c r="B7">
        <v>227791</v>
      </c>
      <c r="C7">
        <v>203370</v>
      </c>
      <c r="D7">
        <f t="shared" si="0"/>
        <v>24421</v>
      </c>
      <c r="E7">
        <f t="shared" si="1"/>
        <v>24421</v>
      </c>
      <c r="F7" s="4">
        <f t="shared" si="2"/>
        <v>0.1072079230522716</v>
      </c>
      <c r="G7">
        <f t="shared" si="3"/>
        <v>596385241</v>
      </c>
      <c r="H7">
        <f>SUM($D$2:D7)</f>
        <v>258207</v>
      </c>
    </row>
    <row r="8" spans="1:8" x14ac:dyDescent="0.35">
      <c r="A8" s="2">
        <v>46160</v>
      </c>
      <c r="B8">
        <v>235851</v>
      </c>
      <c r="C8">
        <v>203370</v>
      </c>
      <c r="D8">
        <f t="shared" si="0"/>
        <v>32481</v>
      </c>
      <c r="E8">
        <f t="shared" si="1"/>
        <v>32481</v>
      </c>
      <c r="F8" s="4">
        <f t="shared" si="2"/>
        <v>0.13771830520116515</v>
      </c>
      <c r="G8">
        <f t="shared" si="3"/>
        <v>1055015361</v>
      </c>
      <c r="H8">
        <f>SUM($D$2:D8)</f>
        <v>290688</v>
      </c>
    </row>
    <row r="9" spans="1:8" x14ac:dyDescent="0.35">
      <c r="A9" s="2">
        <v>46167</v>
      </c>
      <c r="B9">
        <v>226984</v>
      </c>
      <c r="C9">
        <v>203370</v>
      </c>
      <c r="D9">
        <f t="shared" si="0"/>
        <v>23614</v>
      </c>
      <c r="E9">
        <f t="shared" si="1"/>
        <v>23614</v>
      </c>
      <c r="F9" s="4">
        <f t="shared" si="2"/>
        <v>0.10403376449441371</v>
      </c>
      <c r="G9">
        <f t="shared" si="3"/>
        <v>557620996</v>
      </c>
      <c r="H9">
        <f>SUM($D$2:D9)</f>
        <v>314302</v>
      </c>
    </row>
    <row r="10" spans="1:8" x14ac:dyDescent="0.35">
      <c r="A10" s="2">
        <v>46174</v>
      </c>
      <c r="B10">
        <v>228910</v>
      </c>
      <c r="C10">
        <v>203370</v>
      </c>
      <c r="D10">
        <f t="shared" si="0"/>
        <v>25540</v>
      </c>
      <c r="E10">
        <f t="shared" si="1"/>
        <v>25540</v>
      </c>
      <c r="F10" s="4">
        <f t="shared" si="2"/>
        <v>0.11157223362893713</v>
      </c>
      <c r="G10">
        <f t="shared" si="3"/>
        <v>652291600</v>
      </c>
      <c r="H10">
        <f>SUM($D$2:D10)</f>
        <v>339842</v>
      </c>
    </row>
    <row r="11" spans="1:8" x14ac:dyDescent="0.35">
      <c r="A11" s="2">
        <v>46181</v>
      </c>
      <c r="B11">
        <v>228163</v>
      </c>
      <c r="C11">
        <v>203370</v>
      </c>
      <c r="D11">
        <f t="shared" si="0"/>
        <v>24793</v>
      </c>
      <c r="E11">
        <f t="shared" si="1"/>
        <v>24793</v>
      </c>
      <c r="F11" s="4">
        <f t="shared" si="2"/>
        <v>0.10866354316869957</v>
      </c>
      <c r="G11">
        <f t="shared" si="3"/>
        <v>614692849</v>
      </c>
      <c r="H11">
        <f>SUM($D$2:D11)</f>
        <v>364635</v>
      </c>
    </row>
    <row r="12" spans="1:8" x14ac:dyDescent="0.35">
      <c r="A12" s="2">
        <v>46188</v>
      </c>
      <c r="B12">
        <v>229601</v>
      </c>
      <c r="C12">
        <v>203370</v>
      </c>
      <c r="D12">
        <f t="shared" si="0"/>
        <v>26231</v>
      </c>
      <c r="E12">
        <f t="shared" si="1"/>
        <v>26231</v>
      </c>
      <c r="F12" s="4">
        <f t="shared" si="2"/>
        <v>0.11424601809225569</v>
      </c>
      <c r="G12">
        <f t="shared" si="3"/>
        <v>688065361</v>
      </c>
      <c r="H12">
        <f>SUM($D$2:D12)</f>
        <v>390866</v>
      </c>
    </row>
    <row r="13" spans="1:8" x14ac:dyDescent="0.35">
      <c r="A13" s="2">
        <v>46195</v>
      </c>
      <c r="B13">
        <v>233146</v>
      </c>
      <c r="C13">
        <v>203370</v>
      </c>
      <c r="D13">
        <f t="shared" si="0"/>
        <v>29776</v>
      </c>
      <c r="E13">
        <f t="shared" si="1"/>
        <v>29776</v>
      </c>
      <c r="F13" s="4">
        <f t="shared" si="2"/>
        <v>0.12771396464018256</v>
      </c>
      <c r="G13">
        <f t="shared" si="3"/>
        <v>886610176</v>
      </c>
      <c r="H13">
        <f>SUM($D$2:D13)</f>
        <v>420642</v>
      </c>
    </row>
    <row r="16" spans="1:8" x14ac:dyDescent="0.35">
      <c r="A16" t="s">
        <v>14</v>
      </c>
      <c r="B16">
        <f>AVERAGE(E2:E13)</f>
        <v>35053.5</v>
      </c>
    </row>
    <row r="17" spans="1:2" x14ac:dyDescent="0.35">
      <c r="A17" t="s">
        <v>15</v>
      </c>
      <c r="B17" s="5">
        <f>AVERAGE(F2:F13)</f>
        <v>0.14522574879148303</v>
      </c>
    </row>
    <row r="18" spans="1:2" x14ac:dyDescent="0.35">
      <c r="A18" t="s">
        <v>16</v>
      </c>
      <c r="B18">
        <f>SQRT(AVERAGE(G2:G13))</f>
        <v>36759.634308572764</v>
      </c>
    </row>
    <row r="19" spans="1:2" x14ac:dyDescent="0.35">
      <c r="A19" t="s">
        <v>17</v>
      </c>
      <c r="B19" s="3">
        <f>SUM(E2:E13)/SUM(B2:B13)</f>
        <v>0.14702200076754179</v>
      </c>
    </row>
    <row r="20" spans="1:2" x14ac:dyDescent="0.35">
      <c r="A20" t="s">
        <v>18</v>
      </c>
      <c r="B20">
        <f>AVERAGE(D2:D13)</f>
        <v>35053.5</v>
      </c>
    </row>
    <row r="21" spans="1:2" x14ac:dyDescent="0.35">
      <c r="A21" t="s">
        <v>19</v>
      </c>
      <c r="B21">
        <f>SUM(D2:D13)</f>
        <v>420642</v>
      </c>
    </row>
    <row r="22" spans="1:2" x14ac:dyDescent="0.35">
      <c r="A22" t="s">
        <v>20</v>
      </c>
      <c r="B22">
        <f>B21/B16</f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78EE-AA8B-40F2-8ADB-BC84872A78DD}">
  <dimension ref="A1:H22"/>
  <sheetViews>
    <sheetView workbookViewId="0">
      <selection activeCell="J7" sqref="J7"/>
    </sheetView>
  </sheetViews>
  <sheetFormatPr defaultRowHeight="14.5" x14ac:dyDescent="0.35"/>
  <cols>
    <col min="1" max="1" width="13.08984375" bestFit="1" customWidth="1"/>
    <col min="2" max="3" width="6.81640625" bestFit="1" customWidth="1"/>
    <col min="4" max="4" width="5.81640625" bestFit="1" customWidth="1"/>
    <col min="5" max="5" width="10.08984375" bestFit="1" customWidth="1"/>
    <col min="6" max="6" width="11.81640625" bestFit="1" customWidth="1"/>
    <col min="7" max="7" width="10.81640625" bestFit="1" customWidth="1"/>
    <col min="8" max="8" width="12" bestFit="1" customWidth="1"/>
  </cols>
  <sheetData>
    <row r="1" spans="1:8" x14ac:dyDescent="0.3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6">
        <f>'Forecasts (Colab)'!A2</f>
        <v>46118</v>
      </c>
      <c r="B2" s="7">
        <f>'Forecasts (Colab)'!B2</f>
        <v>251658</v>
      </c>
      <c r="C2" s="7">
        <f>'Forecasts (Colab)'!I2</f>
        <v>227314.93764568761</v>
      </c>
      <c r="D2">
        <f>B2-C2</f>
        <v>24343.062354312395</v>
      </c>
      <c r="E2">
        <f>ABS(D2)</f>
        <v>24343.062354312395</v>
      </c>
      <c r="F2" s="4">
        <f>E2/B2</f>
        <v>9.6730731207878923E-2</v>
      </c>
      <c r="G2">
        <f>D2^2</f>
        <v>592584684.78594136</v>
      </c>
      <c r="H2">
        <f>SUM($D$2:D2)</f>
        <v>24343.062354312395</v>
      </c>
    </row>
    <row r="3" spans="1:8" x14ac:dyDescent="0.35">
      <c r="A3" s="6">
        <f>'Forecasts (Colab)'!A3</f>
        <v>46125</v>
      </c>
      <c r="B3" s="7">
        <f>'Forecasts (Colab)'!B3</f>
        <v>237494</v>
      </c>
      <c r="C3" s="7">
        <f>'Forecasts (Colab)'!I3</f>
        <v>227260.0338678562</v>
      </c>
      <c r="D3">
        <f t="shared" ref="D3:D13" si="0">B3-C3</f>
        <v>10233.966132143803</v>
      </c>
      <c r="E3">
        <f t="shared" ref="E3:E13" si="1">ABS(D3)</f>
        <v>10233.966132143803</v>
      </c>
      <c r="F3" s="4">
        <f t="shared" ref="F3:F13" si="2">E3/B3</f>
        <v>4.3091472340959364E-2</v>
      </c>
      <c r="G3">
        <f t="shared" ref="G3:G13" si="3">D3^2</f>
        <v>104734062.7938664</v>
      </c>
      <c r="H3">
        <f>SUM($D$2:D3)</f>
        <v>34577.028486456198</v>
      </c>
    </row>
    <row r="4" spans="1:8" x14ac:dyDescent="0.35">
      <c r="A4" s="6">
        <f>'Forecasts (Colab)'!A4</f>
        <v>46132</v>
      </c>
      <c r="B4" s="7">
        <f>'Forecasts (Colab)'!B4</f>
        <v>258321</v>
      </c>
      <c r="C4" s="7">
        <f>'Forecasts (Colab)'!I4</f>
        <v>227205.13009002479</v>
      </c>
      <c r="D4">
        <f t="shared" si="0"/>
        <v>31115.869909975212</v>
      </c>
      <c r="E4">
        <f t="shared" si="1"/>
        <v>31115.869909975212</v>
      </c>
      <c r="F4" s="4">
        <f t="shared" si="2"/>
        <v>0.12045427940421109</v>
      </c>
      <c r="G4">
        <f t="shared" si="3"/>
        <v>968197360.25450087</v>
      </c>
      <c r="H4">
        <f>SUM($D$2:D4)</f>
        <v>65692.89839643141</v>
      </c>
    </row>
    <row r="5" spans="1:8" x14ac:dyDescent="0.35">
      <c r="A5" s="6">
        <f>'Forecasts (Colab)'!A5</f>
        <v>46139</v>
      </c>
      <c r="B5" s="7">
        <f>'Forecasts (Colab)'!B5</f>
        <v>251383</v>
      </c>
      <c r="C5" s="7">
        <f>'Forecasts (Colab)'!I5</f>
        <v>227150.2263121935</v>
      </c>
      <c r="D5">
        <f t="shared" si="0"/>
        <v>24232.773687806504</v>
      </c>
      <c r="E5">
        <f t="shared" si="1"/>
        <v>24232.773687806504</v>
      </c>
      <c r="F5" s="4">
        <f t="shared" si="2"/>
        <v>9.6397821999922445E-2</v>
      </c>
      <c r="G5">
        <f t="shared" si="3"/>
        <v>587227320.60444725</v>
      </c>
      <c r="H5">
        <f>SUM($D$2:D5)</f>
        <v>89925.672084237915</v>
      </c>
    </row>
    <row r="6" spans="1:8" x14ac:dyDescent="0.35">
      <c r="A6" s="6">
        <f>'Forecasts (Colab)'!A6</f>
        <v>46146</v>
      </c>
      <c r="B6" s="7">
        <f>'Forecasts (Colab)'!B6</f>
        <v>251780</v>
      </c>
      <c r="C6" s="7">
        <f>'Forecasts (Colab)'!I6</f>
        <v>227095.32253436209</v>
      </c>
      <c r="D6">
        <f t="shared" si="0"/>
        <v>24684.677465637913</v>
      </c>
      <c r="E6">
        <f t="shared" si="1"/>
        <v>24684.677465637913</v>
      </c>
      <c r="F6" s="4">
        <f t="shared" si="2"/>
        <v>9.8040660360782877E-2</v>
      </c>
      <c r="G6">
        <f t="shared" si="3"/>
        <v>609333301.58257222</v>
      </c>
      <c r="H6">
        <f>SUM($D$2:D6)</f>
        <v>114610.34954987583</v>
      </c>
    </row>
    <row r="7" spans="1:8" x14ac:dyDescent="0.35">
      <c r="A7" s="6">
        <f>'Forecasts (Colab)'!A7</f>
        <v>46153</v>
      </c>
      <c r="B7" s="7">
        <f>'Forecasts (Colab)'!B7</f>
        <v>227791</v>
      </c>
      <c r="C7" s="7">
        <f>'Forecasts (Colab)'!I7</f>
        <v>227040.41875653071</v>
      </c>
      <c r="D7">
        <f t="shared" si="0"/>
        <v>750.58124346929253</v>
      </c>
      <c r="E7">
        <f t="shared" si="1"/>
        <v>750.58124346929253</v>
      </c>
      <c r="F7" s="4">
        <f t="shared" si="2"/>
        <v>3.2950434541719935E-3</v>
      </c>
      <c r="G7">
        <f t="shared" si="3"/>
        <v>563372.20304790942</v>
      </c>
      <c r="H7">
        <f>SUM($D$2:D7)</f>
        <v>115360.93079334512</v>
      </c>
    </row>
    <row r="8" spans="1:8" x14ac:dyDescent="0.35">
      <c r="A8" s="6">
        <f>'Forecasts (Colab)'!A8</f>
        <v>46160</v>
      </c>
      <c r="B8" s="7">
        <f>'Forecasts (Colab)'!B8</f>
        <v>235851</v>
      </c>
      <c r="C8" s="7">
        <f>'Forecasts (Colab)'!I8</f>
        <v>226985.51497869939</v>
      </c>
      <c r="D8">
        <f t="shared" si="0"/>
        <v>8865.4850213006139</v>
      </c>
      <c r="E8">
        <f t="shared" si="1"/>
        <v>8865.4850213006139</v>
      </c>
      <c r="F8" s="4">
        <f t="shared" si="2"/>
        <v>3.758934675409735E-2</v>
      </c>
      <c r="G8">
        <f t="shared" si="3"/>
        <v>78596824.662905544</v>
      </c>
      <c r="H8">
        <f>SUM($D$2:D8)</f>
        <v>124226.41581464573</v>
      </c>
    </row>
    <row r="9" spans="1:8" x14ac:dyDescent="0.35">
      <c r="A9" s="6">
        <f>'Forecasts (Colab)'!A9</f>
        <v>46167</v>
      </c>
      <c r="B9" s="7">
        <f>'Forecasts (Colab)'!B9</f>
        <v>226984</v>
      </c>
      <c r="C9" s="7">
        <f>'Forecasts (Colab)'!I9</f>
        <v>226930.61120086801</v>
      </c>
      <c r="D9">
        <f t="shared" si="0"/>
        <v>53.388799131993437</v>
      </c>
      <c r="E9">
        <f t="shared" si="1"/>
        <v>53.388799131993437</v>
      </c>
      <c r="F9" s="4">
        <f t="shared" si="2"/>
        <v>2.3520952636306276E-4</v>
      </c>
      <c r="G9">
        <f t="shared" si="3"/>
        <v>2850.363872756343</v>
      </c>
      <c r="H9">
        <f>SUM($D$2:D9)</f>
        <v>124279.80461377773</v>
      </c>
    </row>
    <row r="10" spans="1:8" x14ac:dyDescent="0.35">
      <c r="A10" s="6">
        <f>'Forecasts (Colab)'!A10</f>
        <v>46174</v>
      </c>
      <c r="B10" s="7">
        <f>'Forecasts (Colab)'!B10</f>
        <v>228910</v>
      </c>
      <c r="C10" s="7">
        <f>'Forecasts (Colab)'!I10</f>
        <v>226875.70742303671</v>
      </c>
      <c r="D10">
        <f t="shared" si="0"/>
        <v>2034.2925769632857</v>
      </c>
      <c r="E10">
        <f t="shared" si="1"/>
        <v>2034.2925769632857</v>
      </c>
      <c r="F10" s="4">
        <f t="shared" si="2"/>
        <v>8.8868663534283597E-3</v>
      </c>
      <c r="G10">
        <f t="shared" si="3"/>
        <v>4138346.2886879258</v>
      </c>
      <c r="H10">
        <f>SUM($D$2:D10)</f>
        <v>126314.09719074101</v>
      </c>
    </row>
    <row r="11" spans="1:8" x14ac:dyDescent="0.35">
      <c r="A11" s="6">
        <f>'Forecasts (Colab)'!A11</f>
        <v>46181</v>
      </c>
      <c r="B11" s="7">
        <f>'Forecasts (Colab)'!B11</f>
        <v>228163</v>
      </c>
      <c r="C11" s="7">
        <f>'Forecasts (Colab)'!I11</f>
        <v>226820.80364520531</v>
      </c>
      <c r="D11">
        <f t="shared" si="0"/>
        <v>1342.1963547946943</v>
      </c>
      <c r="E11">
        <f t="shared" si="1"/>
        <v>1342.1963547946943</v>
      </c>
      <c r="F11" s="4">
        <f t="shared" si="2"/>
        <v>5.8826205598396511E-3</v>
      </c>
      <c r="G11">
        <f t="shared" si="3"/>
        <v>1801491.0548241651</v>
      </c>
      <c r="H11">
        <f>SUM($D$2:D11)</f>
        <v>127656.29354553571</v>
      </c>
    </row>
    <row r="12" spans="1:8" x14ac:dyDescent="0.35">
      <c r="A12" s="6">
        <f>'Forecasts (Colab)'!A12</f>
        <v>46188</v>
      </c>
      <c r="B12" s="7">
        <f>'Forecasts (Colab)'!B12</f>
        <v>229601</v>
      </c>
      <c r="C12" s="7">
        <f>'Forecasts (Colab)'!I12</f>
        <v>226765.8998673739</v>
      </c>
      <c r="D12">
        <f t="shared" si="0"/>
        <v>2835.100132626103</v>
      </c>
      <c r="E12">
        <f t="shared" si="1"/>
        <v>2835.100132626103</v>
      </c>
      <c r="F12" s="4">
        <f t="shared" si="2"/>
        <v>1.2347943313078353E-2</v>
      </c>
      <c r="G12">
        <f t="shared" si="3"/>
        <v>8037792.7620165469</v>
      </c>
      <c r="H12">
        <f>SUM($D$2:D12)</f>
        <v>130491.39367816181</v>
      </c>
    </row>
    <row r="13" spans="1:8" x14ac:dyDescent="0.35">
      <c r="A13" s="6">
        <f>'Forecasts (Colab)'!A13</f>
        <v>46195</v>
      </c>
      <c r="B13" s="7">
        <f>'Forecasts (Colab)'!B13</f>
        <v>233146</v>
      </c>
      <c r="C13" s="7">
        <f>'Forecasts (Colab)'!I13</f>
        <v>226710.9960895426</v>
      </c>
      <c r="D13">
        <f t="shared" si="0"/>
        <v>6435.0039104573952</v>
      </c>
      <c r="E13">
        <f t="shared" si="1"/>
        <v>6435.0039104573952</v>
      </c>
      <c r="F13" s="4">
        <f t="shared" si="2"/>
        <v>2.7600747645069593E-2</v>
      </c>
      <c r="G13">
        <f t="shared" si="3"/>
        <v>41409275.327601969</v>
      </c>
      <c r="H13">
        <f>SUM($D$2:D13)</f>
        <v>136926.39758861921</v>
      </c>
    </row>
    <row r="16" spans="1:8" x14ac:dyDescent="0.35">
      <c r="A16" t="s">
        <v>14</v>
      </c>
      <c r="B16">
        <f>AVERAGE(E2:E13)</f>
        <v>11410.533132384933</v>
      </c>
    </row>
    <row r="17" spans="1:2" x14ac:dyDescent="0.35">
      <c r="A17" t="s">
        <v>15</v>
      </c>
      <c r="B17" s="5">
        <f>AVERAGE(F2:F13)</f>
        <v>4.5879395243316919E-2</v>
      </c>
    </row>
    <row r="18" spans="1:2" x14ac:dyDescent="0.35">
      <c r="A18" t="s">
        <v>16</v>
      </c>
      <c r="B18">
        <f>SQRT(AVERAGE(G2:G13))</f>
        <v>15802.496328861791</v>
      </c>
    </row>
    <row r="19" spans="1:2" x14ac:dyDescent="0.35">
      <c r="A19" t="s">
        <v>17</v>
      </c>
      <c r="B19" s="3">
        <f>SUM(E2:E13)/SUM(B2:B13)</f>
        <v>4.7858256977122364E-2</v>
      </c>
    </row>
    <row r="20" spans="1:2" x14ac:dyDescent="0.35">
      <c r="A20" t="s">
        <v>18</v>
      </c>
      <c r="B20">
        <f>AVERAGE(D2:D13)</f>
        <v>11410.533132384933</v>
      </c>
    </row>
    <row r="21" spans="1:2" x14ac:dyDescent="0.35">
      <c r="A21" t="s">
        <v>19</v>
      </c>
      <c r="B21">
        <f>SUM(D2:D13)</f>
        <v>136926.39758861921</v>
      </c>
    </row>
    <row r="22" spans="1:2" x14ac:dyDescent="0.35">
      <c r="A22" t="s">
        <v>20</v>
      </c>
      <c r="B22">
        <f>B21/B16</f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728E-41E3-49BF-BA2A-19E605315693}">
  <dimension ref="A1:H22"/>
  <sheetViews>
    <sheetView workbookViewId="0">
      <selection activeCell="B3" sqref="B3"/>
    </sheetView>
  </sheetViews>
  <sheetFormatPr defaultRowHeight="14.5" x14ac:dyDescent="0.35"/>
  <cols>
    <col min="1" max="1" width="13.08984375" bestFit="1" customWidth="1"/>
    <col min="2" max="3" width="6.81640625" bestFit="1" customWidth="1"/>
    <col min="4" max="4" width="5.81640625" bestFit="1" customWidth="1"/>
    <col min="5" max="5" width="10.08984375" bestFit="1" customWidth="1"/>
    <col min="6" max="6" width="11.81640625" bestFit="1" customWidth="1"/>
    <col min="7" max="7" width="10.81640625" bestFit="1" customWidth="1"/>
    <col min="8" max="8" width="12" bestFit="1" customWidth="1"/>
  </cols>
  <sheetData>
    <row r="1" spans="1:8" x14ac:dyDescent="0.35">
      <c r="A1" s="1" t="s">
        <v>0</v>
      </c>
      <c r="B1" s="1" t="s">
        <v>1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6">
        <f>'Forecasts (Colab)'!A2</f>
        <v>46118</v>
      </c>
      <c r="B2" s="7">
        <f>'Forecasts (Colab)'!B2</f>
        <v>251658</v>
      </c>
      <c r="C2" s="7">
        <f>'Forecasts (Colab)'!G2</f>
        <v>205113.12827634861</v>
      </c>
      <c r="D2">
        <f>B2-C2</f>
        <v>46544.871723651391</v>
      </c>
      <c r="E2">
        <f>ABS(D2)</f>
        <v>46544.871723651391</v>
      </c>
      <c r="F2" s="4">
        <f>E2/B2</f>
        <v>0.18495287939843513</v>
      </c>
      <c r="G2">
        <f>D2^2</f>
        <v>2166425083.771163</v>
      </c>
      <c r="H2">
        <f>SUM($D$2:D2)</f>
        <v>46544.871723651391</v>
      </c>
    </row>
    <row r="3" spans="1:8" x14ac:dyDescent="0.35">
      <c r="A3" s="6">
        <f>'Forecasts (Colab)'!A3</f>
        <v>46125</v>
      </c>
      <c r="B3" s="7">
        <f>'Forecasts (Colab)'!B3</f>
        <v>237494</v>
      </c>
      <c r="C3" s="7">
        <f>'Forecasts (Colab)'!G3</f>
        <v>205113.12827634861</v>
      </c>
      <c r="D3">
        <f t="shared" ref="D3:D13" si="0">B3-C3</f>
        <v>32380.871723651391</v>
      </c>
      <c r="E3">
        <f t="shared" ref="E3:E13" si="1">ABS(D3)</f>
        <v>32380.871723651391</v>
      </c>
      <c r="F3" s="4">
        <f t="shared" ref="F3:F13" si="2">E3/B3</f>
        <v>0.1363439569995511</v>
      </c>
      <c r="G3">
        <f t="shared" ref="G3:G13" si="3">D3^2</f>
        <v>1048520853.5835662</v>
      </c>
      <c r="H3">
        <f>SUM($D$2:D3)</f>
        <v>78925.743447302782</v>
      </c>
    </row>
    <row r="4" spans="1:8" x14ac:dyDescent="0.35">
      <c r="A4" s="6">
        <f>'Forecasts (Colab)'!A4</f>
        <v>46132</v>
      </c>
      <c r="B4" s="7">
        <f>'Forecasts (Colab)'!B4</f>
        <v>258321</v>
      </c>
      <c r="C4" s="7">
        <f>'Forecasts (Colab)'!G4</f>
        <v>205113.12827634861</v>
      </c>
      <c r="D4">
        <f t="shared" si="0"/>
        <v>53207.871723651391</v>
      </c>
      <c r="E4">
        <f t="shared" si="1"/>
        <v>53207.871723651391</v>
      </c>
      <c r="F4" s="4">
        <f t="shared" si="2"/>
        <v>0.20597578874211309</v>
      </c>
      <c r="G4">
        <f t="shared" si="3"/>
        <v>2831077613.3605413</v>
      </c>
      <c r="H4">
        <f>SUM($D$2:D4)</f>
        <v>132133.61517095417</v>
      </c>
    </row>
    <row r="5" spans="1:8" x14ac:dyDescent="0.35">
      <c r="A5" s="6">
        <f>'Forecasts (Colab)'!A5</f>
        <v>46139</v>
      </c>
      <c r="B5" s="7">
        <f>'Forecasts (Colab)'!B5</f>
        <v>251383</v>
      </c>
      <c r="C5" s="7">
        <f>'Forecasts (Colab)'!G5</f>
        <v>205113.12827634861</v>
      </c>
      <c r="D5">
        <f t="shared" si="0"/>
        <v>46269.871723651391</v>
      </c>
      <c r="E5">
        <f t="shared" si="1"/>
        <v>46269.871723651391</v>
      </c>
      <c r="F5" s="4">
        <f t="shared" si="2"/>
        <v>0.18406126000426198</v>
      </c>
      <c r="G5">
        <f t="shared" si="3"/>
        <v>2140901029.3231544</v>
      </c>
      <c r="H5">
        <f>SUM($D$2:D5)</f>
        <v>178403.48689460556</v>
      </c>
    </row>
    <row r="6" spans="1:8" x14ac:dyDescent="0.35">
      <c r="A6" s="6">
        <f>'Forecasts (Colab)'!A6</f>
        <v>46146</v>
      </c>
      <c r="B6" s="7">
        <f>'Forecasts (Colab)'!B6</f>
        <v>251780</v>
      </c>
      <c r="C6" s="7">
        <f>'Forecasts (Colab)'!G6</f>
        <v>205113.12827634861</v>
      </c>
      <c r="D6">
        <f t="shared" si="0"/>
        <v>46666.871723651391</v>
      </c>
      <c r="E6">
        <f t="shared" si="1"/>
        <v>46666.871723651391</v>
      </c>
      <c r="F6" s="4">
        <f t="shared" si="2"/>
        <v>0.18534781048395976</v>
      </c>
      <c r="G6">
        <f t="shared" si="3"/>
        <v>2177796916.4717336</v>
      </c>
      <c r="H6">
        <f>SUM($D$2:D6)</f>
        <v>225070.35861825696</v>
      </c>
    </row>
    <row r="7" spans="1:8" x14ac:dyDescent="0.35">
      <c r="A7" s="6">
        <f>'Forecasts (Colab)'!A7</f>
        <v>46153</v>
      </c>
      <c r="B7" s="7">
        <f>'Forecasts (Colab)'!B7</f>
        <v>227791</v>
      </c>
      <c r="C7" s="7">
        <f>'Forecasts (Colab)'!G7</f>
        <v>205113.12827634861</v>
      </c>
      <c r="D7">
        <f t="shared" si="0"/>
        <v>22677.871723651391</v>
      </c>
      <c r="E7">
        <f t="shared" si="1"/>
        <v>22677.871723651391</v>
      </c>
      <c r="F7" s="4">
        <f t="shared" si="2"/>
        <v>9.9555608973363269E-2</v>
      </c>
      <c r="G7">
        <f t="shared" si="3"/>
        <v>514285865.91438735</v>
      </c>
      <c r="H7">
        <f>SUM($D$2:D7)</f>
        <v>247748.23034190835</v>
      </c>
    </row>
    <row r="8" spans="1:8" x14ac:dyDescent="0.35">
      <c r="A8" s="6">
        <f>'Forecasts (Colab)'!A8</f>
        <v>46160</v>
      </c>
      <c r="B8" s="7">
        <f>'Forecasts (Colab)'!B8</f>
        <v>235851</v>
      </c>
      <c r="C8" s="7">
        <f>'Forecasts (Colab)'!G8</f>
        <v>205113.12827634861</v>
      </c>
      <c r="D8">
        <f t="shared" si="0"/>
        <v>30737.871723651391</v>
      </c>
      <c r="E8">
        <f t="shared" si="1"/>
        <v>30737.871723651391</v>
      </c>
      <c r="F8" s="4">
        <f t="shared" si="2"/>
        <v>0.13032750220966369</v>
      </c>
      <c r="G8">
        <f t="shared" si="3"/>
        <v>944816758.09964776</v>
      </c>
      <c r="H8">
        <f>SUM($D$2:D8)</f>
        <v>278486.10206555971</v>
      </c>
    </row>
    <row r="9" spans="1:8" x14ac:dyDescent="0.35">
      <c r="A9" s="6">
        <f>'Forecasts (Colab)'!A9</f>
        <v>46167</v>
      </c>
      <c r="B9" s="7">
        <f>'Forecasts (Colab)'!B9</f>
        <v>226984</v>
      </c>
      <c r="C9" s="7">
        <f>'Forecasts (Colab)'!G9</f>
        <v>205113.12827634861</v>
      </c>
      <c r="D9">
        <f t="shared" si="0"/>
        <v>21870.871723651391</v>
      </c>
      <c r="E9">
        <f t="shared" si="1"/>
        <v>21870.871723651391</v>
      </c>
      <c r="F9" s="4">
        <f t="shared" si="2"/>
        <v>9.6354244015663615E-2</v>
      </c>
      <c r="G9">
        <f t="shared" si="3"/>
        <v>478335029.95241398</v>
      </c>
      <c r="H9">
        <f>SUM($D$2:D9)</f>
        <v>300356.97378921113</v>
      </c>
    </row>
    <row r="10" spans="1:8" x14ac:dyDescent="0.35">
      <c r="A10" s="6">
        <f>'Forecasts (Colab)'!A10</f>
        <v>46174</v>
      </c>
      <c r="B10" s="7">
        <f>'Forecasts (Colab)'!B10</f>
        <v>228910</v>
      </c>
      <c r="C10" s="7">
        <f>'Forecasts (Colab)'!G10</f>
        <v>205113.12827634861</v>
      </c>
      <c r="D10">
        <f t="shared" si="0"/>
        <v>23796.871723651391</v>
      </c>
      <c r="E10">
        <f t="shared" si="1"/>
        <v>23796.871723651391</v>
      </c>
      <c r="F10" s="4">
        <f t="shared" si="2"/>
        <v>0.10395732700035556</v>
      </c>
      <c r="G10">
        <f t="shared" si="3"/>
        <v>566291103.83191919</v>
      </c>
      <c r="H10">
        <f>SUM($D$2:D10)</f>
        <v>324153.84551286255</v>
      </c>
    </row>
    <row r="11" spans="1:8" x14ac:dyDescent="0.35">
      <c r="A11" s="6">
        <f>'Forecasts (Colab)'!A11</f>
        <v>46181</v>
      </c>
      <c r="B11" s="7">
        <f>'Forecasts (Colab)'!B11</f>
        <v>228163</v>
      </c>
      <c r="C11" s="7">
        <f>'Forecasts (Colab)'!G11</f>
        <v>205113.12827634861</v>
      </c>
      <c r="D11">
        <f t="shared" si="0"/>
        <v>23049.871723651391</v>
      </c>
      <c r="E11">
        <f t="shared" si="1"/>
        <v>23049.871723651391</v>
      </c>
      <c r="F11" s="4">
        <f t="shared" si="2"/>
        <v>0.10102370552478443</v>
      </c>
      <c r="G11">
        <f t="shared" si="3"/>
        <v>531296586.47678393</v>
      </c>
      <c r="H11">
        <f>SUM($D$2:D11)</f>
        <v>347203.71723651397</v>
      </c>
    </row>
    <row r="12" spans="1:8" x14ac:dyDescent="0.35">
      <c r="A12" s="6">
        <f>'Forecasts (Colab)'!A12</f>
        <v>46188</v>
      </c>
      <c r="B12" s="7">
        <f>'Forecasts (Colab)'!B12</f>
        <v>229601</v>
      </c>
      <c r="C12" s="7">
        <f>'Forecasts (Colab)'!G12</f>
        <v>205113.12827634861</v>
      </c>
      <c r="D12">
        <f t="shared" si="0"/>
        <v>24487.871723651391</v>
      </c>
      <c r="E12">
        <f t="shared" si="1"/>
        <v>24487.871723651391</v>
      </c>
      <c r="F12" s="4">
        <f t="shared" si="2"/>
        <v>0.1066540290488778</v>
      </c>
      <c r="G12">
        <f t="shared" si="3"/>
        <v>599655861.55400538</v>
      </c>
      <c r="H12">
        <f>SUM($D$2:D12)</f>
        <v>371691.58896016539</v>
      </c>
    </row>
    <row r="13" spans="1:8" x14ac:dyDescent="0.35">
      <c r="A13" s="6">
        <f>'Forecasts (Colab)'!A13</f>
        <v>46195</v>
      </c>
      <c r="B13" s="7">
        <f>'Forecasts (Colab)'!B13</f>
        <v>233146</v>
      </c>
      <c r="C13" s="7">
        <f>'Forecasts (Colab)'!G13</f>
        <v>205113.12827634861</v>
      </c>
      <c r="D13">
        <f t="shared" si="0"/>
        <v>28032.871723651391</v>
      </c>
      <c r="E13">
        <f t="shared" si="1"/>
        <v>28032.871723651391</v>
      </c>
      <c r="F13" s="4">
        <f t="shared" si="2"/>
        <v>0.12023741228093723</v>
      </c>
      <c r="G13">
        <f t="shared" si="3"/>
        <v>785841897.07469368</v>
      </c>
      <c r="H13">
        <f>SUM($D$2:D13)</f>
        <v>399724.46068381681</v>
      </c>
    </row>
    <row r="16" spans="1:8" x14ac:dyDescent="0.35">
      <c r="A16" t="s">
        <v>14</v>
      </c>
      <c r="B16">
        <f>AVERAGE(E2:E13)</f>
        <v>33310.371723651398</v>
      </c>
    </row>
    <row r="17" spans="1:2" x14ac:dyDescent="0.35">
      <c r="A17" t="s">
        <v>15</v>
      </c>
      <c r="B17" s="5">
        <f>AVERAGE(F2:F13)</f>
        <v>0.13789929372349721</v>
      </c>
    </row>
    <row r="18" spans="1:2" x14ac:dyDescent="0.35">
      <c r="A18" t="s">
        <v>16</v>
      </c>
      <c r="B18">
        <f>SQRT(AVERAGE(G2:G13))</f>
        <v>35101.334969169387</v>
      </c>
    </row>
    <row r="19" spans="1:2" x14ac:dyDescent="0.35">
      <c r="A19" t="s">
        <v>17</v>
      </c>
      <c r="B19" s="3">
        <f>SUM(E2:E13)/SUM(B2:B13)</f>
        <v>0.13971094176392596</v>
      </c>
    </row>
    <row r="20" spans="1:2" x14ac:dyDescent="0.35">
      <c r="A20" t="s">
        <v>18</v>
      </c>
      <c r="B20">
        <f>AVERAGE(D2:D13)</f>
        <v>33310.371723651398</v>
      </c>
    </row>
    <row r="21" spans="1:2" x14ac:dyDescent="0.35">
      <c r="A21" t="s">
        <v>19</v>
      </c>
      <c r="B21">
        <f>SUM(D2:D13)</f>
        <v>399724.46068381681</v>
      </c>
    </row>
    <row r="22" spans="1:2" x14ac:dyDescent="0.35">
      <c r="A22" t="s">
        <v>20</v>
      </c>
      <c r="B22">
        <f>B21/B16</f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0A38-C679-4823-8B39-A915A191CBF1}">
  <dimension ref="A1:H22"/>
  <sheetViews>
    <sheetView workbookViewId="0">
      <selection activeCell="B3" sqref="B3"/>
    </sheetView>
  </sheetViews>
  <sheetFormatPr defaultRowHeight="14.5" x14ac:dyDescent="0.35"/>
  <cols>
    <col min="1" max="1" width="13.08984375" bestFit="1" customWidth="1"/>
    <col min="2" max="3" width="6.81640625" bestFit="1" customWidth="1"/>
    <col min="4" max="4" width="5.81640625" bestFit="1" customWidth="1"/>
    <col min="5" max="5" width="10.08984375" bestFit="1" customWidth="1"/>
    <col min="6" max="6" width="11.81640625" bestFit="1" customWidth="1"/>
    <col min="7" max="7" width="10.81640625" bestFit="1" customWidth="1"/>
    <col min="8" max="8" width="12" bestFit="1" customWidth="1"/>
  </cols>
  <sheetData>
    <row r="1" spans="1:8" x14ac:dyDescent="0.35">
      <c r="A1" s="1" t="s">
        <v>0</v>
      </c>
      <c r="B1" s="1" t="s">
        <v>1</v>
      </c>
      <c r="C1" s="1" t="s">
        <v>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6">
        <f>'Forecasts (Colab)'!A2</f>
        <v>46118</v>
      </c>
      <c r="B2" s="7">
        <f>'Forecasts (Colab)'!B2</f>
        <v>251658</v>
      </c>
      <c r="C2" s="7">
        <f>'Forecasts (Colab)'!F2</f>
        <v>209920.9229932772</v>
      </c>
      <c r="D2">
        <f>B2-C2</f>
        <v>41737.0770067228</v>
      </c>
      <c r="E2">
        <f>ABS(D2)</f>
        <v>41737.0770067228</v>
      </c>
      <c r="F2" s="4">
        <f>E2/B2</f>
        <v>0.16584840142861662</v>
      </c>
      <c r="G2">
        <f>D2^2</f>
        <v>1741983597.065109</v>
      </c>
      <c r="H2">
        <f>SUM($D$2:D2)</f>
        <v>41737.0770067228</v>
      </c>
    </row>
    <row r="3" spans="1:8" x14ac:dyDescent="0.35">
      <c r="A3" s="6">
        <f>'Forecasts (Colab)'!A3</f>
        <v>46125</v>
      </c>
      <c r="B3" s="7">
        <f>'Forecasts (Colab)'!B3</f>
        <v>237494</v>
      </c>
      <c r="C3" s="7">
        <f>'Forecasts (Colab)'!F3</f>
        <v>209920.9229932772</v>
      </c>
      <c r="D3">
        <f t="shared" ref="D3:D13" si="0">B3-C3</f>
        <v>27573.0770067228</v>
      </c>
      <c r="E3">
        <f t="shared" ref="E3:E13" si="1">ABS(D3)</f>
        <v>27573.0770067228</v>
      </c>
      <c r="F3" s="4">
        <f t="shared" ref="F3:F13" si="2">E3/B3</f>
        <v>0.11610009939923872</v>
      </c>
      <c r="G3">
        <f t="shared" ref="G3:G13" si="3">D3^2</f>
        <v>760274575.61866558</v>
      </c>
      <c r="H3">
        <f>SUM($D$2:D3)</f>
        <v>69310.154013445601</v>
      </c>
    </row>
    <row r="4" spans="1:8" x14ac:dyDescent="0.35">
      <c r="A4" s="6">
        <f>'Forecasts (Colab)'!A4</f>
        <v>46132</v>
      </c>
      <c r="B4" s="7">
        <f>'Forecasts (Colab)'!B4</f>
        <v>258321</v>
      </c>
      <c r="C4" s="7">
        <f>'Forecasts (Colab)'!F4</f>
        <v>209920.9229932772</v>
      </c>
      <c r="D4">
        <f t="shared" si="0"/>
        <v>48400.0770067228</v>
      </c>
      <c r="E4">
        <f t="shared" si="1"/>
        <v>48400.0770067228</v>
      </c>
      <c r="F4" s="4">
        <f t="shared" si="2"/>
        <v>0.18736408192412851</v>
      </c>
      <c r="G4">
        <f t="shared" si="3"/>
        <v>2342567454.2566972</v>
      </c>
      <c r="H4">
        <f>SUM($D$2:D4)</f>
        <v>117710.2310201684</v>
      </c>
    </row>
    <row r="5" spans="1:8" x14ac:dyDescent="0.35">
      <c r="A5" s="6">
        <f>'Forecasts (Colab)'!A5</f>
        <v>46139</v>
      </c>
      <c r="B5" s="7">
        <f>'Forecasts (Colab)'!B5</f>
        <v>251383</v>
      </c>
      <c r="C5" s="7">
        <f>'Forecasts (Colab)'!F5</f>
        <v>209920.9229932772</v>
      </c>
      <c r="D5">
        <f t="shared" si="0"/>
        <v>41462.0770067228</v>
      </c>
      <c r="E5">
        <f t="shared" si="1"/>
        <v>41462.0770067228</v>
      </c>
      <c r="F5" s="4">
        <f t="shared" si="2"/>
        <v>0.16493588272366388</v>
      </c>
      <c r="G5">
        <f t="shared" si="3"/>
        <v>1719103829.7114115</v>
      </c>
      <c r="H5">
        <f>SUM($D$2:D5)</f>
        <v>159172.3080268912</v>
      </c>
    </row>
    <row r="6" spans="1:8" x14ac:dyDescent="0.35">
      <c r="A6" s="6">
        <f>'Forecasts (Colab)'!A6</f>
        <v>46146</v>
      </c>
      <c r="B6" s="7">
        <f>'Forecasts (Colab)'!B6</f>
        <v>251780</v>
      </c>
      <c r="C6" s="7">
        <f>'Forecasts (Colab)'!F6</f>
        <v>209920.9229932772</v>
      </c>
      <c r="D6">
        <f t="shared" si="0"/>
        <v>41859.0770067228</v>
      </c>
      <c r="E6">
        <f t="shared" si="1"/>
        <v>41859.0770067228</v>
      </c>
      <c r="F6" s="4">
        <f t="shared" si="2"/>
        <v>0.1662525895890174</v>
      </c>
      <c r="G6">
        <f t="shared" si="3"/>
        <v>1752182327.8547494</v>
      </c>
      <c r="H6">
        <f>SUM($D$2:D6)</f>
        <v>201031.385033614</v>
      </c>
    </row>
    <row r="7" spans="1:8" x14ac:dyDescent="0.35">
      <c r="A7" s="6">
        <f>'Forecasts (Colab)'!A7</f>
        <v>46153</v>
      </c>
      <c r="B7" s="7">
        <f>'Forecasts (Colab)'!B7</f>
        <v>227791</v>
      </c>
      <c r="C7" s="7">
        <f>'Forecasts (Colab)'!F7</f>
        <v>209920.9229932772</v>
      </c>
      <c r="D7">
        <f t="shared" si="0"/>
        <v>17870.0770067228</v>
      </c>
      <c r="E7">
        <f t="shared" si="1"/>
        <v>17870.0770067228</v>
      </c>
      <c r="F7" s="4">
        <f t="shared" si="2"/>
        <v>7.8449442720400719E-2</v>
      </c>
      <c r="G7">
        <f t="shared" si="3"/>
        <v>319339652.22620291</v>
      </c>
      <c r="H7">
        <f>SUM($D$2:D7)</f>
        <v>218901.4620403368</v>
      </c>
    </row>
    <row r="8" spans="1:8" x14ac:dyDescent="0.35">
      <c r="A8" s="6">
        <f>'Forecasts (Colab)'!A8</f>
        <v>46160</v>
      </c>
      <c r="B8" s="7">
        <f>'Forecasts (Colab)'!B8</f>
        <v>235851</v>
      </c>
      <c r="C8" s="7">
        <f>'Forecasts (Colab)'!F8</f>
        <v>209920.9229932772</v>
      </c>
      <c r="D8">
        <f t="shared" si="0"/>
        <v>25930.0770067228</v>
      </c>
      <c r="E8">
        <f t="shared" si="1"/>
        <v>25930.0770067228</v>
      </c>
      <c r="F8" s="4">
        <f t="shared" si="2"/>
        <v>0.10994262058131109</v>
      </c>
      <c r="G8">
        <f t="shared" si="3"/>
        <v>672368893.57457447</v>
      </c>
      <c r="H8">
        <f>SUM($D$2:D8)</f>
        <v>244831.5390470596</v>
      </c>
    </row>
    <row r="9" spans="1:8" x14ac:dyDescent="0.35">
      <c r="A9" s="6">
        <f>'Forecasts (Colab)'!A9</f>
        <v>46167</v>
      </c>
      <c r="B9" s="7">
        <f>'Forecasts (Colab)'!B9</f>
        <v>226984</v>
      </c>
      <c r="C9" s="7">
        <f>'Forecasts (Colab)'!F9</f>
        <v>209920.9229932772</v>
      </c>
      <c r="D9">
        <f t="shared" si="0"/>
        <v>17063.0770067228</v>
      </c>
      <c r="E9">
        <f t="shared" si="1"/>
        <v>17063.0770067228</v>
      </c>
      <c r="F9" s="4">
        <f t="shared" si="2"/>
        <v>7.5173038657891308E-2</v>
      </c>
      <c r="G9">
        <f t="shared" si="3"/>
        <v>291148596.9373523</v>
      </c>
      <c r="H9">
        <f>SUM($D$2:D9)</f>
        <v>261894.6160537824</v>
      </c>
    </row>
    <row r="10" spans="1:8" x14ac:dyDescent="0.35">
      <c r="A10" s="6">
        <f>'Forecasts (Colab)'!A10</f>
        <v>46174</v>
      </c>
      <c r="B10" s="7">
        <f>'Forecasts (Colab)'!B10</f>
        <v>228910</v>
      </c>
      <c r="C10" s="7">
        <f>'Forecasts (Colab)'!F10</f>
        <v>209920.9229932772</v>
      </c>
      <c r="D10">
        <f t="shared" si="0"/>
        <v>18989.0770067228</v>
      </c>
      <c r="E10">
        <f t="shared" si="1"/>
        <v>18989.0770067228</v>
      </c>
      <c r="F10" s="4">
        <f t="shared" si="2"/>
        <v>8.2954335794516623E-2</v>
      </c>
      <c r="G10">
        <f t="shared" si="3"/>
        <v>360585045.56724852</v>
      </c>
      <c r="H10">
        <f>SUM($D$2:D10)</f>
        <v>280883.6930605052</v>
      </c>
    </row>
    <row r="11" spans="1:8" x14ac:dyDescent="0.35">
      <c r="A11" s="6">
        <f>'Forecasts (Colab)'!A11</f>
        <v>46181</v>
      </c>
      <c r="B11" s="7">
        <f>'Forecasts (Colab)'!B11</f>
        <v>228163</v>
      </c>
      <c r="C11" s="7">
        <f>'Forecasts (Colab)'!F11</f>
        <v>209920.9229932772</v>
      </c>
      <c r="D11">
        <f t="shared" si="0"/>
        <v>18242.0770067228</v>
      </c>
      <c r="E11">
        <f t="shared" si="1"/>
        <v>18242.0770067228</v>
      </c>
      <c r="F11" s="4">
        <f t="shared" si="2"/>
        <v>7.9951951046939251E-2</v>
      </c>
      <c r="G11">
        <f t="shared" si="3"/>
        <v>332773373.51920468</v>
      </c>
      <c r="H11">
        <f>SUM($D$2:D11)</f>
        <v>299125.770067228</v>
      </c>
    </row>
    <row r="12" spans="1:8" x14ac:dyDescent="0.35">
      <c r="A12" s="6">
        <f>'Forecasts (Colab)'!A12</f>
        <v>46188</v>
      </c>
      <c r="B12" s="7">
        <f>'Forecasts (Colab)'!B12</f>
        <v>229601</v>
      </c>
      <c r="C12" s="7">
        <f>'Forecasts (Colab)'!F12</f>
        <v>209920.9229932772</v>
      </c>
      <c r="D12">
        <f t="shared" si="0"/>
        <v>19680.0770067228</v>
      </c>
      <c r="E12">
        <f t="shared" si="1"/>
        <v>19680.0770067228</v>
      </c>
      <c r="F12" s="4">
        <f t="shared" si="2"/>
        <v>8.5714247789525314E-2</v>
      </c>
      <c r="G12">
        <f t="shared" si="3"/>
        <v>387305430.99053943</v>
      </c>
      <c r="H12">
        <f>SUM($D$2:D12)</f>
        <v>318805.8470739508</v>
      </c>
    </row>
    <row r="13" spans="1:8" x14ac:dyDescent="0.35">
      <c r="A13" s="6">
        <f>'Forecasts (Colab)'!A13</f>
        <v>46195</v>
      </c>
      <c r="B13" s="7">
        <f>'Forecasts (Colab)'!B13</f>
        <v>233146</v>
      </c>
      <c r="C13" s="7">
        <f>'Forecasts (Colab)'!F13</f>
        <v>209920.9229932772</v>
      </c>
      <c r="D13">
        <f t="shared" si="0"/>
        <v>23225.0770067228</v>
      </c>
      <c r="E13">
        <f t="shared" si="1"/>
        <v>23225.0770067228</v>
      </c>
      <c r="F13" s="4">
        <f t="shared" si="2"/>
        <v>9.961602174913059E-2</v>
      </c>
      <c r="G13">
        <f t="shared" si="3"/>
        <v>539404201.96820414</v>
      </c>
      <c r="H13">
        <f>SUM($D$2:D13)</f>
        <v>342030.92408067361</v>
      </c>
    </row>
    <row r="16" spans="1:8" x14ac:dyDescent="0.35">
      <c r="A16" t="s">
        <v>14</v>
      </c>
      <c r="B16">
        <f>AVERAGE(E2:E13)</f>
        <v>28502.5770067228</v>
      </c>
    </row>
    <row r="17" spans="1:2" x14ac:dyDescent="0.35">
      <c r="A17" t="s">
        <v>15</v>
      </c>
      <c r="B17" s="5">
        <f>AVERAGE(F2:F13)</f>
        <v>0.11769189278369836</v>
      </c>
    </row>
    <row r="18" spans="1:2" x14ac:dyDescent="0.35">
      <c r="A18" t="s">
        <v>16</v>
      </c>
      <c r="B18">
        <f>SQRT(AVERAGE(G2:G13))</f>
        <v>30576.457418644226</v>
      </c>
    </row>
    <row r="19" spans="1:2" x14ac:dyDescent="0.35">
      <c r="A19" t="s">
        <v>17</v>
      </c>
      <c r="B19" s="3">
        <f>SUM(E2:E13)/SUM(B2:B13)</f>
        <v>0.1195460053506588</v>
      </c>
    </row>
    <row r="20" spans="1:2" x14ac:dyDescent="0.35">
      <c r="A20" t="s">
        <v>18</v>
      </c>
      <c r="B20">
        <f>AVERAGE(D2:D13)</f>
        <v>28502.5770067228</v>
      </c>
    </row>
    <row r="21" spans="1:2" x14ac:dyDescent="0.35">
      <c r="A21" t="s">
        <v>19</v>
      </c>
      <c r="B21">
        <f>SUM(D2:D13)</f>
        <v>342030.92408067361</v>
      </c>
    </row>
    <row r="22" spans="1:2" x14ac:dyDescent="0.35">
      <c r="A22" t="s">
        <v>20</v>
      </c>
      <c r="B22">
        <f>B21/B16</f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C1B5-A82D-4F45-8013-2A8FB6416832}">
  <dimension ref="A1:H22"/>
  <sheetViews>
    <sheetView workbookViewId="0">
      <selection activeCell="B3" sqref="B3"/>
    </sheetView>
  </sheetViews>
  <sheetFormatPr defaultRowHeight="14.5" x14ac:dyDescent="0.35"/>
  <cols>
    <col min="1" max="1" width="13.08984375" bestFit="1" customWidth="1"/>
    <col min="2" max="3" width="6.81640625" bestFit="1" customWidth="1"/>
    <col min="4" max="4" width="5.81640625" bestFit="1" customWidth="1"/>
    <col min="5" max="5" width="10.08984375" bestFit="1" customWidth="1"/>
    <col min="6" max="6" width="11.81640625" bestFit="1" customWidth="1"/>
    <col min="7" max="7" width="10.81640625" bestFit="1" customWidth="1"/>
    <col min="8" max="8" width="12" bestFit="1" customWidth="1"/>
  </cols>
  <sheetData>
    <row r="1" spans="1:8" x14ac:dyDescent="0.35">
      <c r="A1" s="1" t="s">
        <v>0</v>
      </c>
      <c r="B1" s="1" t="s">
        <v>1</v>
      </c>
      <c r="C1" s="1" t="s">
        <v>4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6">
        <f>'Forecasts (Colab)'!A2</f>
        <v>46118</v>
      </c>
      <c r="B2" s="7">
        <f>'Forecasts (Colab)'!B2</f>
        <v>251658</v>
      </c>
      <c r="C2" s="7">
        <f>'Forecasts (Colab)'!E2</f>
        <v>209795.75</v>
      </c>
      <c r="D2">
        <f>B2-C2</f>
        <v>41862.25</v>
      </c>
      <c r="E2">
        <f>ABS(D2)</f>
        <v>41862.25</v>
      </c>
      <c r="F2" s="4">
        <f>E2/B2</f>
        <v>0.16634579468961844</v>
      </c>
      <c r="G2">
        <f>D2^2</f>
        <v>1752447975.0625</v>
      </c>
      <c r="H2">
        <f>SUM($D$2:D2)</f>
        <v>41862.25</v>
      </c>
    </row>
    <row r="3" spans="1:8" x14ac:dyDescent="0.35">
      <c r="A3" s="6">
        <f>'Forecasts (Colab)'!A3</f>
        <v>46125</v>
      </c>
      <c r="B3" s="7">
        <f>'Forecasts (Colab)'!B3</f>
        <v>237494</v>
      </c>
      <c r="C3" s="7">
        <f>'Forecasts (Colab)'!E3</f>
        <v>209795.75</v>
      </c>
      <c r="D3">
        <f t="shared" ref="D3:D13" si="0">B3-C3</f>
        <v>27698.25</v>
      </c>
      <c r="E3">
        <f t="shared" ref="E3:E13" si="1">ABS(D3)</f>
        <v>27698.25</v>
      </c>
      <c r="F3" s="4">
        <f t="shared" ref="F3:F13" si="2">E3/B3</f>
        <v>0.11662715689659528</v>
      </c>
      <c r="G3">
        <f t="shared" ref="G3:G13" si="3">D3^2</f>
        <v>767193053.0625</v>
      </c>
      <c r="H3">
        <f>SUM($D$2:D3)</f>
        <v>69560.5</v>
      </c>
    </row>
    <row r="4" spans="1:8" x14ac:dyDescent="0.35">
      <c r="A4" s="6">
        <f>'Forecasts (Colab)'!A4</f>
        <v>46132</v>
      </c>
      <c r="B4" s="7">
        <f>'Forecasts (Colab)'!B4</f>
        <v>258321</v>
      </c>
      <c r="C4" s="7">
        <f>'Forecasts (Colab)'!E4</f>
        <v>209795.75</v>
      </c>
      <c r="D4">
        <f t="shared" si="0"/>
        <v>48525.25</v>
      </c>
      <c r="E4">
        <f t="shared" si="1"/>
        <v>48525.25</v>
      </c>
      <c r="F4" s="4">
        <f t="shared" si="2"/>
        <v>0.18784864567727749</v>
      </c>
      <c r="G4">
        <f t="shared" si="3"/>
        <v>2354699887.5625</v>
      </c>
      <c r="H4">
        <f>SUM($D$2:D4)</f>
        <v>118085.75</v>
      </c>
    </row>
    <row r="5" spans="1:8" x14ac:dyDescent="0.35">
      <c r="A5" s="6">
        <f>'Forecasts (Colab)'!A5</f>
        <v>46139</v>
      </c>
      <c r="B5" s="7">
        <f>'Forecasts (Colab)'!B5</f>
        <v>251383</v>
      </c>
      <c r="C5" s="7">
        <f>'Forecasts (Colab)'!E5</f>
        <v>209795.75</v>
      </c>
      <c r="D5">
        <f t="shared" si="0"/>
        <v>41587.25</v>
      </c>
      <c r="E5">
        <f t="shared" si="1"/>
        <v>41587.25</v>
      </c>
      <c r="F5" s="4">
        <f t="shared" si="2"/>
        <v>0.16543382010716715</v>
      </c>
      <c r="G5">
        <f t="shared" si="3"/>
        <v>1729499362.5625</v>
      </c>
      <c r="H5">
        <f>SUM($D$2:D5)</f>
        <v>159673</v>
      </c>
    </row>
    <row r="6" spans="1:8" x14ac:dyDescent="0.35">
      <c r="A6" s="6">
        <f>'Forecasts (Colab)'!A6</f>
        <v>46146</v>
      </c>
      <c r="B6" s="7">
        <f>'Forecasts (Colab)'!B6</f>
        <v>251780</v>
      </c>
      <c r="C6" s="7">
        <f>'Forecasts (Colab)'!E6</f>
        <v>209795.75</v>
      </c>
      <c r="D6">
        <f t="shared" si="0"/>
        <v>41984.25</v>
      </c>
      <c r="E6">
        <f t="shared" si="1"/>
        <v>41984.25</v>
      </c>
      <c r="F6" s="4">
        <f t="shared" si="2"/>
        <v>0.16674974183811264</v>
      </c>
      <c r="G6">
        <f t="shared" si="3"/>
        <v>1762677248.0625</v>
      </c>
      <c r="H6">
        <f>SUM($D$2:D6)</f>
        <v>201657.25</v>
      </c>
    </row>
    <row r="7" spans="1:8" x14ac:dyDescent="0.35">
      <c r="A7" s="6">
        <f>'Forecasts (Colab)'!A7</f>
        <v>46153</v>
      </c>
      <c r="B7" s="7">
        <f>'Forecasts (Colab)'!B7</f>
        <v>227791</v>
      </c>
      <c r="C7" s="7">
        <f>'Forecasts (Colab)'!E7</f>
        <v>209795.75</v>
      </c>
      <c r="D7">
        <f t="shared" si="0"/>
        <v>17995.25</v>
      </c>
      <c r="E7">
        <f t="shared" si="1"/>
        <v>17995.25</v>
      </c>
      <c r="F7" s="4">
        <f t="shared" si="2"/>
        <v>7.899895079261253E-2</v>
      </c>
      <c r="G7">
        <f t="shared" si="3"/>
        <v>323829022.5625</v>
      </c>
      <c r="H7">
        <f>SUM($D$2:D7)</f>
        <v>219652.5</v>
      </c>
    </row>
    <row r="8" spans="1:8" x14ac:dyDescent="0.35">
      <c r="A8" s="6">
        <f>'Forecasts (Colab)'!A8</f>
        <v>46160</v>
      </c>
      <c r="B8" s="7">
        <f>'Forecasts (Colab)'!B8</f>
        <v>235851</v>
      </c>
      <c r="C8" s="7">
        <f>'Forecasts (Colab)'!E8</f>
        <v>209795.75</v>
      </c>
      <c r="D8">
        <f t="shared" si="0"/>
        <v>26055.25</v>
      </c>
      <c r="E8">
        <f t="shared" si="1"/>
        <v>26055.25</v>
      </c>
      <c r="F8" s="4">
        <f t="shared" si="2"/>
        <v>0.11047334969959847</v>
      </c>
      <c r="G8">
        <f t="shared" si="3"/>
        <v>678876052.5625</v>
      </c>
      <c r="H8">
        <f>SUM($D$2:D8)</f>
        <v>245707.75</v>
      </c>
    </row>
    <row r="9" spans="1:8" x14ac:dyDescent="0.35">
      <c r="A9" s="6">
        <f>'Forecasts (Colab)'!A9</f>
        <v>46167</v>
      </c>
      <c r="B9" s="7">
        <f>'Forecasts (Colab)'!B9</f>
        <v>226984</v>
      </c>
      <c r="C9" s="7">
        <f>'Forecasts (Colab)'!E9</f>
        <v>209795.75</v>
      </c>
      <c r="D9">
        <f t="shared" si="0"/>
        <v>17188.25</v>
      </c>
      <c r="E9">
        <f t="shared" si="1"/>
        <v>17188.25</v>
      </c>
      <c r="F9" s="4">
        <f t="shared" si="2"/>
        <v>7.5724500405314907E-2</v>
      </c>
      <c r="G9">
        <f t="shared" si="3"/>
        <v>295435938.0625</v>
      </c>
      <c r="H9">
        <f>SUM($D$2:D9)</f>
        <v>262896</v>
      </c>
    </row>
    <row r="10" spans="1:8" x14ac:dyDescent="0.35">
      <c r="A10" s="6">
        <f>'Forecasts (Colab)'!A10</f>
        <v>46174</v>
      </c>
      <c r="B10" s="7">
        <f>'Forecasts (Colab)'!B10</f>
        <v>228910</v>
      </c>
      <c r="C10" s="7">
        <f>'Forecasts (Colab)'!E10</f>
        <v>209795.75</v>
      </c>
      <c r="D10">
        <f t="shared" si="0"/>
        <v>19114.25</v>
      </c>
      <c r="E10">
        <f t="shared" si="1"/>
        <v>19114.25</v>
      </c>
      <c r="F10" s="4">
        <f t="shared" si="2"/>
        <v>8.3501157660215805E-2</v>
      </c>
      <c r="G10">
        <f t="shared" si="3"/>
        <v>365354553.0625</v>
      </c>
      <c r="H10">
        <f>SUM($D$2:D10)</f>
        <v>282010.25</v>
      </c>
    </row>
    <row r="11" spans="1:8" x14ac:dyDescent="0.35">
      <c r="A11" s="6">
        <f>'Forecasts (Colab)'!A11</f>
        <v>46181</v>
      </c>
      <c r="B11" s="7">
        <f>'Forecasts (Colab)'!B11</f>
        <v>228163</v>
      </c>
      <c r="C11" s="7">
        <f>'Forecasts (Colab)'!E11</f>
        <v>209795.75</v>
      </c>
      <c r="D11">
        <f t="shared" si="0"/>
        <v>18367.25</v>
      </c>
      <c r="E11">
        <f t="shared" si="1"/>
        <v>18367.25</v>
      </c>
      <c r="F11" s="4">
        <f t="shared" si="2"/>
        <v>8.0500563193857025E-2</v>
      </c>
      <c r="G11">
        <f t="shared" si="3"/>
        <v>337355872.5625</v>
      </c>
      <c r="H11">
        <f>SUM($D$2:D11)</f>
        <v>300377.5</v>
      </c>
    </row>
    <row r="12" spans="1:8" x14ac:dyDescent="0.35">
      <c r="A12" s="6">
        <f>'Forecasts (Colab)'!A12</f>
        <v>46188</v>
      </c>
      <c r="B12" s="7">
        <f>'Forecasts (Colab)'!B12</f>
        <v>229601</v>
      </c>
      <c r="C12" s="7">
        <f>'Forecasts (Colab)'!E12</f>
        <v>209795.75</v>
      </c>
      <c r="D12">
        <f t="shared" si="0"/>
        <v>19805.25</v>
      </c>
      <c r="E12">
        <f t="shared" si="1"/>
        <v>19805.25</v>
      </c>
      <c r="F12" s="4">
        <f t="shared" si="2"/>
        <v>8.6259423957212727E-2</v>
      </c>
      <c r="G12">
        <f t="shared" si="3"/>
        <v>392247927.5625</v>
      </c>
      <c r="H12">
        <f>SUM($D$2:D12)</f>
        <v>320182.75</v>
      </c>
    </row>
    <row r="13" spans="1:8" x14ac:dyDescent="0.35">
      <c r="A13" s="6">
        <f>'Forecasts (Colab)'!A13</f>
        <v>46195</v>
      </c>
      <c r="B13" s="7">
        <f>'Forecasts (Colab)'!B13</f>
        <v>233146</v>
      </c>
      <c r="C13" s="7">
        <f>'Forecasts (Colab)'!E13</f>
        <v>209795.75</v>
      </c>
      <c r="D13">
        <f t="shared" si="0"/>
        <v>23350.25</v>
      </c>
      <c r="E13">
        <f t="shared" si="1"/>
        <v>23350.25</v>
      </c>
      <c r="F13" s="4">
        <f t="shared" si="2"/>
        <v>0.10015290847794944</v>
      </c>
      <c r="G13">
        <f t="shared" si="3"/>
        <v>545234175.0625</v>
      </c>
      <c r="H13">
        <f>SUM($D$2:D13)</f>
        <v>343533</v>
      </c>
    </row>
    <row r="16" spans="1:8" x14ac:dyDescent="0.35">
      <c r="A16" t="s">
        <v>14</v>
      </c>
      <c r="B16">
        <f>AVERAGE(E2:E13)</f>
        <v>28627.75</v>
      </c>
    </row>
    <row r="17" spans="1:2" x14ac:dyDescent="0.35">
      <c r="A17" t="s">
        <v>15</v>
      </c>
      <c r="B17" s="5">
        <f>AVERAGE(F2:F13)</f>
        <v>0.11821800111629432</v>
      </c>
    </row>
    <row r="18" spans="1:2" x14ac:dyDescent="0.35">
      <c r="A18" t="s">
        <v>16</v>
      </c>
      <c r="B18">
        <f>SQRT(AVERAGE(G2:G13))</f>
        <v>30693.173871603765</v>
      </c>
    </row>
    <row r="19" spans="1:2" x14ac:dyDescent="0.35">
      <c r="A19" t="s">
        <v>17</v>
      </c>
      <c r="B19" s="3">
        <f>SUM(E2:E13)/SUM(B2:B13)</f>
        <v>0.12007100810113097</v>
      </c>
    </row>
    <row r="20" spans="1:2" x14ac:dyDescent="0.35">
      <c r="A20" t="s">
        <v>18</v>
      </c>
      <c r="B20">
        <f>AVERAGE(D2:D13)</f>
        <v>28627.75</v>
      </c>
    </row>
    <row r="21" spans="1:2" x14ac:dyDescent="0.35">
      <c r="A21" t="s">
        <v>19</v>
      </c>
      <c r="B21">
        <f>SUM(D2:D13)</f>
        <v>343533</v>
      </c>
    </row>
    <row r="22" spans="1:2" x14ac:dyDescent="0.35">
      <c r="A22" t="s">
        <v>20</v>
      </c>
      <c r="B22">
        <f>B21/B16</f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C193-7504-4679-8804-0BA42578044F}">
  <dimension ref="A1:H22"/>
  <sheetViews>
    <sheetView workbookViewId="0">
      <selection activeCell="B3" sqref="B3"/>
    </sheetView>
  </sheetViews>
  <sheetFormatPr defaultRowHeight="14.5" x14ac:dyDescent="0.35"/>
  <cols>
    <col min="1" max="1" width="13.08984375" bestFit="1" customWidth="1"/>
    <col min="2" max="3" width="6.81640625" bestFit="1" customWidth="1"/>
    <col min="4" max="4" width="5.81640625" bestFit="1" customWidth="1"/>
    <col min="5" max="5" width="10.08984375" bestFit="1" customWidth="1"/>
    <col min="6" max="6" width="11.81640625" bestFit="1" customWidth="1"/>
    <col min="7" max="7" width="10.81640625" bestFit="1" customWidth="1"/>
    <col min="8" max="8" width="12" bestFit="1" customWidth="1"/>
  </cols>
  <sheetData>
    <row r="1" spans="1:8" x14ac:dyDescent="0.35">
      <c r="A1" s="1" t="s">
        <v>0</v>
      </c>
      <c r="B1" s="1" t="s">
        <v>1</v>
      </c>
      <c r="C1" s="1" t="s">
        <v>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s="6">
        <f>'Forecasts (Colab)'!A2</f>
        <v>46118</v>
      </c>
      <c r="B2" s="7">
        <f>'Forecasts (Colab)'!B2</f>
        <v>251658</v>
      </c>
      <c r="C2" s="7">
        <f>'Forecasts (Colab)'!D2</f>
        <v>225104</v>
      </c>
      <c r="D2">
        <f>B2-C2</f>
        <v>26554</v>
      </c>
      <c r="E2">
        <f>ABS(D2)</f>
        <v>26554</v>
      </c>
      <c r="F2" s="4">
        <f>E2/B2</f>
        <v>0.1055162164524871</v>
      </c>
      <c r="G2">
        <f>D2^2</f>
        <v>705114916</v>
      </c>
      <c r="H2">
        <f>SUM($D$2:D2)</f>
        <v>26554</v>
      </c>
    </row>
    <row r="3" spans="1:8" x14ac:dyDescent="0.35">
      <c r="A3" s="6">
        <f>'Forecasts (Colab)'!A3</f>
        <v>46125</v>
      </c>
      <c r="B3" s="7">
        <f>'Forecasts (Colab)'!B3</f>
        <v>237494</v>
      </c>
      <c r="C3" s="7">
        <f>'Forecasts (Colab)'!D3</f>
        <v>244761</v>
      </c>
      <c r="D3">
        <f t="shared" ref="D3:D13" si="0">B3-C3</f>
        <v>-7267</v>
      </c>
      <c r="E3">
        <f t="shared" ref="E3:E13" si="1">ABS(D3)</f>
        <v>7267</v>
      </c>
      <c r="F3" s="4">
        <f t="shared" ref="F3:F13" si="2">E3/B3</f>
        <v>3.0598667755816988E-2</v>
      </c>
      <c r="G3">
        <f t="shared" ref="G3:G13" si="3">D3^2</f>
        <v>52809289</v>
      </c>
      <c r="H3">
        <f>SUM($D$2:D3)</f>
        <v>19287</v>
      </c>
    </row>
    <row r="4" spans="1:8" x14ac:dyDescent="0.35">
      <c r="A4" s="6">
        <f>'Forecasts (Colab)'!A4</f>
        <v>46132</v>
      </c>
      <c r="B4" s="7">
        <f>'Forecasts (Colab)'!B4</f>
        <v>258321</v>
      </c>
      <c r="C4" s="7">
        <f>'Forecasts (Colab)'!D4</f>
        <v>212389</v>
      </c>
      <c r="D4">
        <f t="shared" si="0"/>
        <v>45932</v>
      </c>
      <c r="E4">
        <f t="shared" si="1"/>
        <v>45932</v>
      </c>
      <c r="F4" s="4">
        <f t="shared" si="2"/>
        <v>0.17780977930559266</v>
      </c>
      <c r="G4">
        <f t="shared" si="3"/>
        <v>2109748624</v>
      </c>
      <c r="H4">
        <f>SUM($D$2:D4)</f>
        <v>65219</v>
      </c>
    </row>
    <row r="5" spans="1:8" x14ac:dyDescent="0.35">
      <c r="A5" s="6">
        <f>'Forecasts (Colab)'!A5</f>
        <v>46139</v>
      </c>
      <c r="B5" s="7">
        <f>'Forecasts (Colab)'!B5</f>
        <v>251383</v>
      </c>
      <c r="C5" s="7">
        <f>'Forecasts (Colab)'!D5</f>
        <v>207401</v>
      </c>
      <c r="D5">
        <f t="shared" si="0"/>
        <v>43982</v>
      </c>
      <c r="E5">
        <f t="shared" si="1"/>
        <v>43982</v>
      </c>
      <c r="F5" s="4">
        <f t="shared" si="2"/>
        <v>0.17496012061277016</v>
      </c>
      <c r="G5">
        <f t="shared" si="3"/>
        <v>1934416324</v>
      </c>
      <c r="H5">
        <f>SUM($D$2:D5)</f>
        <v>109201</v>
      </c>
    </row>
    <row r="6" spans="1:8" x14ac:dyDescent="0.35">
      <c r="A6" s="6">
        <f>'Forecasts (Colab)'!A6</f>
        <v>46146</v>
      </c>
      <c r="B6" s="7">
        <f>'Forecasts (Colab)'!B6</f>
        <v>251780</v>
      </c>
      <c r="C6" s="7">
        <f>'Forecasts (Colab)'!D6</f>
        <v>217028</v>
      </c>
      <c r="D6">
        <f t="shared" si="0"/>
        <v>34752</v>
      </c>
      <c r="E6">
        <f t="shared" si="1"/>
        <v>34752</v>
      </c>
      <c r="F6" s="4">
        <f t="shared" si="2"/>
        <v>0.13802526014774805</v>
      </c>
      <c r="G6">
        <f t="shared" si="3"/>
        <v>1207701504</v>
      </c>
      <c r="H6">
        <f>SUM($D$2:D6)</f>
        <v>143953</v>
      </c>
    </row>
    <row r="7" spans="1:8" x14ac:dyDescent="0.35">
      <c r="A7" s="6">
        <f>'Forecasts (Colab)'!A7</f>
        <v>46153</v>
      </c>
      <c r="B7" s="7">
        <f>'Forecasts (Colab)'!B7</f>
        <v>227791</v>
      </c>
      <c r="C7" s="7">
        <f>'Forecasts (Colab)'!D7</f>
        <v>225701</v>
      </c>
      <c r="D7">
        <f t="shared" si="0"/>
        <v>2090</v>
      </c>
      <c r="E7">
        <f t="shared" si="1"/>
        <v>2090</v>
      </c>
      <c r="F7" s="4">
        <f t="shared" si="2"/>
        <v>9.1750771540578865E-3</v>
      </c>
      <c r="G7">
        <f t="shared" si="3"/>
        <v>4368100</v>
      </c>
      <c r="H7">
        <f>SUM($D$2:D7)</f>
        <v>146043</v>
      </c>
    </row>
    <row r="8" spans="1:8" x14ac:dyDescent="0.35">
      <c r="A8" s="6">
        <f>'Forecasts (Colab)'!A8</f>
        <v>46160</v>
      </c>
      <c r="B8" s="7">
        <f>'Forecasts (Colab)'!B8</f>
        <v>235851</v>
      </c>
      <c r="C8" s="7">
        <f>'Forecasts (Colab)'!D8</f>
        <v>264702</v>
      </c>
      <c r="D8">
        <f t="shared" si="0"/>
        <v>-28851</v>
      </c>
      <c r="E8">
        <f t="shared" si="1"/>
        <v>28851</v>
      </c>
      <c r="F8" s="4">
        <f t="shared" si="2"/>
        <v>0.12232723202360812</v>
      </c>
      <c r="G8">
        <f t="shared" si="3"/>
        <v>832380201</v>
      </c>
      <c r="H8">
        <f>SUM($D$2:D8)</f>
        <v>117192</v>
      </c>
    </row>
    <row r="9" spans="1:8" x14ac:dyDescent="0.35">
      <c r="A9" s="6">
        <f>'Forecasts (Colab)'!A9</f>
        <v>46167</v>
      </c>
      <c r="B9" s="7">
        <f>'Forecasts (Colab)'!B9</f>
        <v>226984</v>
      </c>
      <c r="C9" s="7">
        <f>'Forecasts (Colab)'!D9</f>
        <v>250106</v>
      </c>
      <c r="D9">
        <f t="shared" si="0"/>
        <v>-23122</v>
      </c>
      <c r="E9">
        <f t="shared" si="1"/>
        <v>23122</v>
      </c>
      <c r="F9" s="4">
        <f t="shared" si="2"/>
        <v>0.10186621083424383</v>
      </c>
      <c r="G9">
        <f t="shared" si="3"/>
        <v>534626884</v>
      </c>
      <c r="H9">
        <f>SUM($D$2:D9)</f>
        <v>94070</v>
      </c>
    </row>
    <row r="10" spans="1:8" x14ac:dyDescent="0.35">
      <c r="A10" s="6">
        <f>'Forecasts (Colab)'!A10</f>
        <v>46174</v>
      </c>
      <c r="B10" s="7">
        <f>'Forecasts (Colab)'!B10</f>
        <v>228910</v>
      </c>
      <c r="C10" s="7">
        <f>'Forecasts (Colab)'!D10</f>
        <v>223922</v>
      </c>
      <c r="D10">
        <f t="shared" si="0"/>
        <v>4988</v>
      </c>
      <c r="E10">
        <f t="shared" si="1"/>
        <v>4988</v>
      </c>
      <c r="F10" s="4">
        <f t="shared" si="2"/>
        <v>2.1790223231837842E-2</v>
      </c>
      <c r="G10">
        <f t="shared" si="3"/>
        <v>24880144</v>
      </c>
      <c r="H10">
        <f>SUM($D$2:D10)</f>
        <v>99058</v>
      </c>
    </row>
    <row r="11" spans="1:8" x14ac:dyDescent="0.35">
      <c r="A11" s="6">
        <f>'Forecasts (Colab)'!A11</f>
        <v>46181</v>
      </c>
      <c r="B11" s="7">
        <f>'Forecasts (Colab)'!B11</f>
        <v>228163</v>
      </c>
      <c r="C11" s="7">
        <f>'Forecasts (Colab)'!D11</f>
        <v>219537</v>
      </c>
      <c r="D11">
        <f t="shared" si="0"/>
        <v>8626</v>
      </c>
      <c r="E11">
        <f t="shared" si="1"/>
        <v>8626</v>
      </c>
      <c r="F11" s="4">
        <f t="shared" si="2"/>
        <v>3.780630514149972E-2</v>
      </c>
      <c r="G11">
        <f t="shared" si="3"/>
        <v>74407876</v>
      </c>
      <c r="H11">
        <f>SUM($D$2:D11)</f>
        <v>107684</v>
      </c>
    </row>
    <row r="12" spans="1:8" x14ac:dyDescent="0.35">
      <c r="A12" s="6">
        <f>'Forecasts (Colab)'!A12</f>
        <v>46188</v>
      </c>
      <c r="B12" s="7">
        <f>'Forecasts (Colab)'!B12</f>
        <v>229601</v>
      </c>
      <c r="C12" s="7">
        <f>'Forecasts (Colab)'!D12</f>
        <v>219614</v>
      </c>
      <c r="D12">
        <f t="shared" si="0"/>
        <v>9987</v>
      </c>
      <c r="E12">
        <f t="shared" si="1"/>
        <v>9987</v>
      </c>
      <c r="F12" s="4">
        <f t="shared" si="2"/>
        <v>4.3497197311858395E-2</v>
      </c>
      <c r="G12">
        <f t="shared" si="3"/>
        <v>99740169</v>
      </c>
      <c r="H12">
        <f>SUM($D$2:D12)</f>
        <v>117671</v>
      </c>
    </row>
    <row r="13" spans="1:8" x14ac:dyDescent="0.35">
      <c r="A13" s="6">
        <f>'Forecasts (Colab)'!A13</f>
        <v>46195</v>
      </c>
      <c r="B13" s="7">
        <f>'Forecasts (Colab)'!B13</f>
        <v>233146</v>
      </c>
      <c r="C13" s="7">
        <f>'Forecasts (Colab)'!D13</f>
        <v>220538</v>
      </c>
      <c r="D13">
        <f t="shared" si="0"/>
        <v>12608</v>
      </c>
      <c r="E13">
        <f t="shared" si="1"/>
        <v>12608</v>
      </c>
      <c r="F13" s="4">
        <f t="shared" si="2"/>
        <v>5.4077702383913941E-2</v>
      </c>
      <c r="G13">
        <f t="shared" si="3"/>
        <v>158961664</v>
      </c>
      <c r="H13">
        <f>SUM($D$2:D13)</f>
        <v>130279</v>
      </c>
    </row>
    <row r="16" spans="1:8" x14ac:dyDescent="0.35">
      <c r="A16" t="s">
        <v>14</v>
      </c>
      <c r="B16">
        <f>AVERAGE(E2:E13)</f>
        <v>20729.916666666668</v>
      </c>
    </row>
    <row r="17" spans="1:2" x14ac:dyDescent="0.35">
      <c r="A17" t="s">
        <v>15</v>
      </c>
      <c r="B17" s="5">
        <f>AVERAGE(F2:F13)</f>
        <v>8.4787499362952892E-2</v>
      </c>
    </row>
    <row r="18" spans="1:2" x14ac:dyDescent="0.35">
      <c r="A18" t="s">
        <v>16</v>
      </c>
      <c r="B18">
        <f>SQRT(AVERAGE(G2:G13))</f>
        <v>25395.464974085433</v>
      </c>
    </row>
    <row r="19" spans="1:2" x14ac:dyDescent="0.35">
      <c r="A19" t="s">
        <v>17</v>
      </c>
      <c r="B19" s="3">
        <f>SUM(E2:E13)/SUM(B2:B13)</f>
        <v>8.6945777856069842E-2</v>
      </c>
    </row>
    <row r="20" spans="1:2" x14ac:dyDescent="0.35">
      <c r="A20" t="s">
        <v>18</v>
      </c>
      <c r="B20">
        <f>AVERAGE(D2:D13)</f>
        <v>10856.583333333334</v>
      </c>
    </row>
    <row r="21" spans="1:2" x14ac:dyDescent="0.35">
      <c r="A21" t="s">
        <v>19</v>
      </c>
      <c r="B21">
        <f>SUM(D2:D13)</f>
        <v>130279</v>
      </c>
    </row>
    <row r="22" spans="1:2" x14ac:dyDescent="0.35">
      <c r="A22" t="s">
        <v>20</v>
      </c>
      <c r="B22">
        <f>B21/B16</f>
        <v>6.2845886982983528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Forecasts (Colab)</vt:lpstr>
      <vt:lpstr>Holt-Winters</vt:lpstr>
      <vt:lpstr>Naive</vt:lpstr>
      <vt:lpstr>Trend Event Reg</vt:lpstr>
      <vt:lpstr>SES alpha 0.6</vt:lpstr>
      <vt:lpstr>SES alpha 0.3</vt:lpstr>
      <vt:lpstr>Moving Avg 4w</vt:lpstr>
      <vt:lpstr>Seasonal Naive 52w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Ghulam Mujtaba</cp:lastModifiedBy>
  <dcterms:created xsi:type="dcterms:W3CDTF">2026-10-05T11:39:06Z</dcterms:created>
  <dcterms:modified xsi:type="dcterms:W3CDTF">2026-10-05T12:06:26Z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6e33738b-5f01-47ac-b081-2be7cfa771eb</vt:lpwstr>
  </property>
</Properties>
</file>